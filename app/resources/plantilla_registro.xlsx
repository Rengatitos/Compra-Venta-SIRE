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mc:AlternateContent xmlns:mc="http://schemas.openxmlformats.org/markup-compatibility/2006">
    <mc:Choice Requires="x15">
      <x15ac:absPath xmlns:x15ac="http://schemas.microsoft.com/office/spreadsheetml/2010/11/ac" url="C:\Users\USUARIO\Downloads\"/>
    </mc:Choice>
  </mc:AlternateContent>
  <xr:revisionPtr revIDLastSave="0" documentId="13_ncr:1_{0354C82B-0635-4687-9E11-41B153B40787}" xr6:coauthVersionLast="47" xr6:coauthVersionMax="47" xr10:uidLastSave="{00000000-0000-0000-0000-000000000000}"/>
  <bookViews>
    <workbookView xWindow="-120" yWindow="-120" windowWidth="29040" windowHeight="15720" xr2:uid="{00000000-000D-0000-FFFF-FFFF00000000}"/>
  </bookViews>
  <sheets>
    <sheet name="FORMATO_VENTAS" sheetId="1" r:id="rId1"/>
    <sheet name="FORMATO_ COMPRAS " sheetId="11" r:id="rId2"/>
  </sheets>
  <definedNames>
    <definedName name="_xlnm._FilterDatabase" localSheetId="1" hidden="1">'FORMATO_ COMPRAS '!$H$1:$H$14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2" i="1" l="1"/>
  <c r="L32" i="1"/>
  <c r="M32" i="1"/>
  <c r="N32" i="1"/>
  <c r="O32" i="1"/>
  <c r="P32" i="1"/>
  <c r="J32" i="1"/>
  <c r="B15" i="1"/>
  <c r="J15" i="1"/>
  <c r="N15" i="1"/>
  <c r="B16" i="1"/>
  <c r="J16" i="1"/>
  <c r="N16" i="1"/>
  <c r="B17" i="1"/>
  <c r="J17" i="1"/>
  <c r="N17" i="1" s="1"/>
  <c r="B18" i="1"/>
  <c r="J18" i="1"/>
  <c r="N18" i="1"/>
  <c r="B19" i="1"/>
  <c r="J19" i="1"/>
  <c r="N19" i="1"/>
  <c r="B20" i="1"/>
  <c r="J20" i="1"/>
  <c r="N20" i="1"/>
  <c r="B21" i="1"/>
  <c r="J21" i="1"/>
  <c r="N21" i="1"/>
  <c r="B22" i="1"/>
  <c r="J22" i="1"/>
  <c r="N22" i="1"/>
  <c r="B23" i="1"/>
  <c r="J23" i="1"/>
  <c r="N23" i="1"/>
  <c r="B24" i="1"/>
  <c r="J24" i="1"/>
  <c r="N24" i="1"/>
  <c r="B25" i="1"/>
  <c r="J25" i="1"/>
  <c r="N25" i="1" s="1"/>
  <c r="B26" i="1"/>
  <c r="J26" i="1"/>
  <c r="N26" i="1"/>
  <c r="B27" i="1"/>
  <c r="J27" i="1"/>
  <c r="N27" i="1" s="1"/>
  <c r="B28" i="1"/>
  <c r="J28" i="1"/>
  <c r="N28" i="1"/>
  <c r="B29" i="1"/>
  <c r="J29" i="1"/>
  <c r="N29" i="1"/>
  <c r="B30" i="1"/>
  <c r="J30" i="1"/>
  <c r="N30" i="1"/>
  <c r="B31" i="1"/>
  <c r="J31" i="1"/>
  <c r="N31" i="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14" i="11"/>
  <c r="B14" i="1"/>
  <c r="J14" i="1"/>
  <c r="N14" i="1" s="1"/>
  <c r="J15" i="11"/>
  <c r="K15" i="11" s="1"/>
  <c r="J16" i="11"/>
  <c r="K16" i="11" s="1"/>
  <c r="J17" i="11"/>
  <c r="K17" i="11" s="1"/>
  <c r="J18" i="11"/>
  <c r="K18" i="11" s="1"/>
  <c r="J19" i="11"/>
  <c r="K19" i="11" s="1"/>
  <c r="J20" i="11"/>
  <c r="K20" i="11" s="1"/>
  <c r="J21" i="11"/>
  <c r="K21" i="11"/>
  <c r="J22" i="11"/>
  <c r="K22" i="11" s="1"/>
  <c r="J23" i="11"/>
  <c r="K23" i="11" s="1"/>
  <c r="J24" i="11"/>
  <c r="K24" i="11" s="1"/>
  <c r="J25" i="11"/>
  <c r="K25" i="11" s="1"/>
  <c r="J26" i="11"/>
  <c r="K26" i="11" s="1"/>
  <c r="J27" i="11"/>
  <c r="K27" i="11" s="1"/>
  <c r="J28" i="11"/>
  <c r="K28" i="11" s="1"/>
  <c r="J29" i="11"/>
  <c r="K29" i="11"/>
  <c r="J30" i="11"/>
  <c r="K30" i="11"/>
  <c r="J31" i="11"/>
  <c r="K31" i="11" s="1"/>
  <c r="J32" i="11"/>
  <c r="K32" i="11" s="1"/>
  <c r="J33" i="11"/>
  <c r="K33" i="11" s="1"/>
  <c r="J34" i="11"/>
  <c r="K34" i="11" s="1"/>
  <c r="J35" i="11"/>
  <c r="K35" i="11" s="1"/>
  <c r="J36" i="11"/>
  <c r="K36" i="11" s="1"/>
  <c r="J37" i="11"/>
  <c r="K37" i="11"/>
  <c r="J38" i="11"/>
  <c r="K38" i="11"/>
  <c r="J39" i="11"/>
  <c r="K39" i="11" s="1"/>
  <c r="J40" i="11"/>
  <c r="K40" i="11" s="1"/>
  <c r="K14" i="11"/>
  <c r="J14" i="11"/>
  <c r="S41" i="11"/>
  <c r="O41" i="11"/>
  <c r="Q41" i="11"/>
  <c r="R41" i="11"/>
  <c r="N41" i="11"/>
  <c r="P41" i="11" l="1"/>
  <c r="P42" i="11" s="1"/>
  <c r="M41" i="11"/>
  <c r="L41" i="11"/>
  <c r="J41" i="11" l="1"/>
  <c r="K41" i="11"/>
  <c r="J34" i="1" l="1"/>
  <c r="K35" i="1"/>
  <c r="J35" i="1" s="1"/>
  <c r="N3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DENIS</author>
  </authors>
  <commentList>
    <comment ref="V10" authorId="0" shapeId="0" xr:uid="{00000000-0006-0000-0000-000001000000}">
      <text>
        <r>
          <rPr>
            <b/>
            <sz val="9"/>
            <color indexed="81"/>
            <rFont val="Tahoma"/>
            <family val="2"/>
          </rPr>
          <t>CONTASIS:
NUEVOS SOLES (S)
DOLARES AMERICANOS (D)</t>
        </r>
      </text>
    </comment>
    <comment ref="W10" authorId="0" shapeId="0" xr:uid="{00000000-0006-0000-0000-000002000000}">
      <text>
        <r>
          <rPr>
            <b/>
            <sz val="9"/>
            <color indexed="81"/>
            <rFont val="Tahoma"/>
            <family val="2"/>
          </rPr>
          <t>CONTASIS:
Este dato debe estar presente en todas los documentos cuya moneda sea dolares americanos</t>
        </r>
      </text>
    </comment>
    <comment ref="Y10" authorId="0" shapeId="0" xr:uid="{00000000-0006-0000-0000-000003000000}">
      <text>
        <r>
          <rPr>
            <b/>
            <sz val="9"/>
            <color indexed="81"/>
            <rFont val="Tahoma"/>
            <family val="2"/>
          </rPr>
          <t>CONTASIS:
Contado (CON)
Crédito (CRE)</t>
        </r>
      </text>
    </comment>
    <comment ref="AE10" authorId="0" shapeId="0" xr:uid="{00000000-0006-0000-0000-000004000000}">
      <text>
        <r>
          <rPr>
            <b/>
            <sz val="9"/>
            <color indexed="81"/>
            <rFont val="Tahoma"/>
            <family val="2"/>
          </rPr>
          <t>CONTASIS:
Regimen Especial
1   DETRACCION
2   PERCEPCION
3   RETENCION</t>
        </r>
      </text>
    </comment>
    <comment ref="AF10" authorId="0" shapeId="0" xr:uid="{00000000-0006-0000-0000-000005000000}">
      <text>
        <r>
          <rPr>
            <b/>
            <sz val="9"/>
            <color indexed="81"/>
            <rFont val="Tahoma"/>
            <family val="2"/>
          </rPr>
          <t>CONTASIS:
Porcentaje regimen especial</t>
        </r>
      </text>
    </comment>
    <comment ref="AG10" authorId="0" shapeId="0" xr:uid="{00000000-0006-0000-0000-000006000000}">
      <text>
        <r>
          <rPr>
            <b/>
            <sz val="9"/>
            <color indexed="81"/>
            <rFont val="Tahoma"/>
            <family val="2"/>
          </rPr>
          <t>CONTASIS:
Importe regimen especial</t>
        </r>
      </text>
    </comment>
    <comment ref="AH10" authorId="0" shapeId="0" xr:uid="{00000000-0006-0000-0000-000007000000}">
      <text>
        <r>
          <rPr>
            <b/>
            <sz val="9"/>
            <color indexed="81"/>
            <rFont val="Tahoma"/>
            <family val="2"/>
          </rPr>
          <t>CONTASIS:
Serie documento regimen especial</t>
        </r>
      </text>
    </comment>
    <comment ref="AI10" authorId="0" shapeId="0" xr:uid="{00000000-0006-0000-0000-000008000000}">
      <text>
        <r>
          <rPr>
            <b/>
            <sz val="9"/>
            <color indexed="81"/>
            <rFont val="Tahoma"/>
            <family val="2"/>
          </rPr>
          <t>CONTASIS:
Número documento regimen especial</t>
        </r>
      </text>
    </comment>
    <comment ref="AJ10" authorId="0" shapeId="0" xr:uid="{00000000-0006-0000-0000-000009000000}">
      <text>
        <r>
          <rPr>
            <b/>
            <sz val="9"/>
            <color indexed="81"/>
            <rFont val="Tahoma"/>
            <family val="2"/>
          </rPr>
          <t>CONTASIS:
Fecha documento regimen especial</t>
        </r>
      </text>
    </comment>
    <comment ref="AL10" authorId="0" shapeId="0" xr:uid="{00000000-0006-0000-0000-00000A000000}">
      <text>
        <r>
          <rPr>
            <b/>
            <sz val="9"/>
            <color indexed="81"/>
            <rFont val="Tahoma"/>
            <family val="2"/>
          </rPr>
          <t>CONTASIS:
Porcentaje I.G.V.
Ejemplo :    18.00</t>
        </r>
      </text>
    </comment>
    <comment ref="AM10" authorId="0" shapeId="0" xr:uid="{00000000-0006-0000-0000-00000B000000}">
      <text>
        <r>
          <rPr>
            <b/>
            <sz val="9"/>
            <color indexed="81"/>
            <rFont val="Tahoma"/>
            <family val="2"/>
          </rPr>
          <t>CONTASIS:
Glosa</t>
        </r>
      </text>
    </comment>
    <comment ref="AN10" authorId="0" shapeId="0" xr:uid="{00000000-0006-0000-0000-00000C000000}">
      <text>
        <r>
          <rPr>
            <b/>
            <sz val="9"/>
            <color indexed="81"/>
            <rFont val="Tahoma"/>
            <family val="2"/>
          </rPr>
          <t xml:space="preserve">CONTASIS:
Tipo de Medio de Pago
001  DEPOSITO EN CUENTA
002  GIRO
003  TRANSFERENCIA DE FONDOS
004  ORDEN DE PAGO
005  TARJETA DE DÉBITO
006  TARJETA DE CRÉDITO
007  CHEQUES "NO NEGOCIABLE" "INTRANSFERIBLE"
008  EFECTIVO SIN UTILIZAR MEDIOS DE PAGO
009  EFECTIVO MEDIOS DE PAGO
010  MEDIOS DE PAGO DE COMERCIO EXTERIOR
011  LETRAS DE CAMBIO
101  TRANSFERENCIAS - COMERCIO EXTERIOR
102  CHEQUES BANCARIOS - COMERCIO EXTERIOR
103  ORDEN DE PAGO SIMPLE - COMERCIO EXTERIOR
104  ORDEN DE PAGO DOCUMENTARIO - COMERCIO EXTERIOR
105  REMESA SIMPLE - COMERCIO EXTERIOR
106  REMESA DOCUMENTARIA - COMERCIO EXTERIOR
107  CARTA DE CRÉDITO SIMPLE - COMERCIO EXTERIOR
108  CARTA DE CRÉDITO DOCUMENTARIO - COMERCIO EXTERIOR
999  OTROS MEDIOS DE PAGO
</t>
        </r>
      </text>
    </comment>
    <comment ref="AO10" authorId="0" shapeId="0" xr:uid="{00000000-0006-0000-0000-00000D000000}">
      <text>
        <r>
          <rPr>
            <b/>
            <sz val="9"/>
            <color indexed="81"/>
            <rFont val="Tahoma"/>
            <family val="2"/>
          </rPr>
          <t>CONTASIS:
1: Si está Dentro
2: Si está Fuera</t>
        </r>
      </text>
    </comment>
    <comment ref="AP10" authorId="0" shapeId="0" xr:uid="{00000000-0006-0000-0000-00000E000000}">
      <text>
        <r>
          <rPr>
            <b/>
            <sz val="9"/>
            <color indexed="81"/>
            <rFont val="Tahoma"/>
            <family val="2"/>
          </rPr>
          <t>CONTASIS:
Importe para cálculo de Régimen Especial</t>
        </r>
      </text>
    </comment>
    <comment ref="H11" authorId="0" shapeId="0" xr:uid="{00000000-0006-0000-0000-00000F000000}">
      <text>
        <r>
          <rPr>
            <b/>
            <sz val="9"/>
            <color indexed="81"/>
            <rFont val="Tahoma"/>
            <family val="2"/>
          </rPr>
          <t>CONTASIS:
Modo de ingreso: 
Para Razón Social
Ejem: INDUSTRIAS PERUANAS S.A.
Para apellidos y nombres separados por comas
PATERNO,MATERNO,NOMBRE1,NOMBRE2
Ejem: PEREZ,SOSA,JUAN,LUIS</t>
        </r>
      </text>
    </comment>
    <comment ref="C12" authorId="0" shapeId="0" xr:uid="{00000000-0006-0000-0000-000010000000}">
      <text>
        <r>
          <rPr>
            <b/>
            <sz val="9"/>
            <color indexed="81"/>
            <rFont val="Tahoma"/>
            <family val="2"/>
          </rPr>
          <t xml:space="preserve">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12" authorId="0" shapeId="0" xr:uid="{00000000-0006-0000-0000-000011000000}">
      <text>
        <r>
          <rPr>
            <b/>
            <sz val="9"/>
            <color indexed="81"/>
            <rFont val="Tahoma"/>
            <family val="2"/>
          </rPr>
          <t>CONTASIS:
N° Serie o N° Serie de la maquina registradora.</t>
        </r>
      </text>
    </comment>
    <comment ref="F12" authorId="0" shapeId="0" xr:uid="{00000000-0006-0000-0000-000012000000}">
      <text>
        <r>
          <rPr>
            <b/>
            <sz val="9"/>
            <color indexed="81"/>
            <rFont val="Tahoma"/>
            <family val="2"/>
          </rPr>
          <t xml:space="preserve">CONTASIS:
Tipo de Documento
0  OTROS TIPOS DE DOCUMENTOS
1  DNI / DOCUMENTO NACIONAL DE IDENTIDAD
4  CARNET DE EXTRANJERIA
6  RUC / REGISTRO ÚNICO DE CONTRIBUYENTES
7  PASAPORTE
A  CÉDULA DIPLOMÁTICA DE IDENTIDAD
</t>
        </r>
      </text>
    </comment>
    <comment ref="S12" authorId="0" shapeId="0" xr:uid="{00000000-0006-0000-0000-000013000000}">
      <text>
        <r>
          <rPr>
            <b/>
            <sz val="9"/>
            <color indexed="81"/>
            <rFont val="Tahoma"/>
            <family val="2"/>
          </rPr>
          <t xml:space="preserve">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A13" authorId="0" shapeId="0" xr:uid="{00000000-0006-0000-0000-000014000000}">
      <text>
        <r>
          <rPr>
            <b/>
            <sz val="9"/>
            <color indexed="81"/>
            <rFont val="Tahoma"/>
            <family val="2"/>
          </rPr>
          <t>CONTASIS:
Este dato debe estar presente en todas las lineas del documento.</t>
        </r>
      </text>
    </comment>
    <comment ref="B13" authorId="0" shapeId="0" xr:uid="{00000000-0006-0000-0000-000015000000}">
      <text>
        <r>
          <rPr>
            <b/>
            <sz val="9"/>
            <color indexed="81"/>
            <rFont val="Tahoma"/>
            <family val="2"/>
          </rPr>
          <t>CONTASIS:
Este dato debe estar presente en todas las lineas del documento.</t>
        </r>
      </text>
    </comment>
    <comment ref="C13" authorId="0" shapeId="0" xr:uid="{00000000-0006-0000-0000-000016000000}">
      <text>
        <r>
          <rPr>
            <b/>
            <sz val="9"/>
            <color indexed="81"/>
            <rFont val="Tahoma"/>
            <family val="2"/>
          </rPr>
          <t>CONTASIS:
Este dato debe estar presente en todas las lineas del documento.</t>
        </r>
      </text>
    </comment>
    <comment ref="D13" authorId="0" shapeId="0" xr:uid="{00000000-0006-0000-0000-000017000000}">
      <text>
        <r>
          <rPr>
            <b/>
            <sz val="9"/>
            <color indexed="81"/>
            <rFont val="Tahoma"/>
            <family val="2"/>
          </rPr>
          <t>CONTASIS:
Este dato debe estar presente en todas las lineas del documento.</t>
        </r>
      </text>
    </comment>
    <comment ref="E13" authorId="0" shapeId="0" xr:uid="{00000000-0006-0000-0000-000018000000}">
      <text>
        <r>
          <rPr>
            <b/>
            <sz val="9"/>
            <color indexed="81"/>
            <rFont val="Tahoma"/>
            <family val="2"/>
          </rPr>
          <t>CONTASIS:
Este dato debe estar presente en todas las lineas del documento.</t>
        </r>
      </text>
    </comment>
    <comment ref="F13" authorId="0" shapeId="0" xr:uid="{00000000-0006-0000-0000-000019000000}">
      <text>
        <r>
          <rPr>
            <b/>
            <sz val="9"/>
            <color indexed="81"/>
            <rFont val="Tahoma"/>
            <family val="2"/>
          </rPr>
          <t>CONTASIS:
Este dato debe estar presente en todas las lineas del documento.</t>
        </r>
      </text>
    </comment>
    <comment ref="G13" authorId="0" shapeId="0" xr:uid="{00000000-0006-0000-0000-00001A000000}">
      <text>
        <r>
          <rPr>
            <b/>
            <sz val="9"/>
            <color indexed="81"/>
            <rFont val="Tahoma"/>
            <family val="2"/>
          </rPr>
          <t>CONTASIS:
Este dato debe estar presente en todas las lineas del documento.</t>
        </r>
      </text>
    </comment>
    <comment ref="H13" authorId="0" shapeId="0" xr:uid="{00000000-0006-0000-0000-00001B000000}">
      <text>
        <r>
          <rPr>
            <b/>
            <sz val="9"/>
            <color indexed="81"/>
            <rFont val="Tahoma"/>
            <family val="2"/>
          </rPr>
          <t>CONTASIS:
Este dato debe estar presente en todas las lineas del documento.</t>
        </r>
      </text>
    </comment>
    <comment ref="Q13" authorId="0" shapeId="0" xr:uid="{00000000-0006-0000-0000-00001C000000}">
      <text>
        <r>
          <rPr>
            <b/>
            <sz val="9"/>
            <color indexed="81"/>
            <rFont val="Tahoma"/>
            <family val="2"/>
          </rPr>
          <t>CONTASIS:
Este dato debe estar presente en todas las lineas del documento.</t>
        </r>
      </text>
    </comment>
    <comment ref="R13" authorId="0" shapeId="0" xr:uid="{00000000-0006-0000-0000-00001D000000}">
      <text>
        <r>
          <rPr>
            <b/>
            <sz val="9"/>
            <color indexed="81"/>
            <rFont val="Tahoma"/>
            <family val="2"/>
          </rPr>
          <t>CONTASIS:
Este dato debe estar presente en todas las lineas del documento.</t>
        </r>
      </text>
    </comment>
    <comment ref="S13" authorId="0" shapeId="0" xr:uid="{00000000-0006-0000-0000-00001E000000}">
      <text>
        <r>
          <rPr>
            <b/>
            <sz val="9"/>
            <color indexed="81"/>
            <rFont val="Tahoma"/>
            <family val="2"/>
          </rPr>
          <t>CONTASIS:
Este dato debe estar presente en todas las lineas del documento.</t>
        </r>
      </text>
    </comment>
    <comment ref="T13" authorId="0" shapeId="0" xr:uid="{00000000-0006-0000-0000-00001F000000}">
      <text>
        <r>
          <rPr>
            <b/>
            <sz val="9"/>
            <color indexed="81"/>
            <rFont val="Tahoma"/>
            <family val="2"/>
          </rPr>
          <t>CONTASIS:
Este dato debe estar presente en todas las lineas del documento.</t>
        </r>
      </text>
    </comment>
    <comment ref="U13" authorId="0" shapeId="0" xr:uid="{00000000-0006-0000-0000-000020000000}">
      <text>
        <r>
          <rPr>
            <b/>
            <sz val="9"/>
            <color indexed="81"/>
            <rFont val="Tahoma"/>
            <family val="2"/>
          </rPr>
          <t>CONTASIS:
Este dato debe estar presente en todas las lineas del documento.</t>
        </r>
      </text>
    </comment>
    <comment ref="V13" authorId="0" shapeId="0" xr:uid="{00000000-0006-0000-0000-000021000000}">
      <text>
        <r>
          <rPr>
            <b/>
            <sz val="9"/>
            <color indexed="81"/>
            <rFont val="Tahoma"/>
            <family val="2"/>
          </rPr>
          <t>CONTASIS:
Este dato debe estar presente en todas las lineas del documento.</t>
        </r>
      </text>
    </comment>
    <comment ref="X13" authorId="0" shapeId="0" xr:uid="{00000000-0006-0000-0000-000022000000}">
      <text>
        <r>
          <rPr>
            <b/>
            <sz val="9"/>
            <color indexed="81"/>
            <rFont val="Tahoma"/>
            <family val="2"/>
          </rPr>
          <t>CONTASIS:
Este dato debe estar presente en todas las lineas del documento.</t>
        </r>
      </text>
    </comment>
    <comment ref="Y13" authorId="0" shapeId="0" xr:uid="{00000000-0006-0000-0000-000023000000}">
      <text>
        <r>
          <rPr>
            <b/>
            <sz val="9"/>
            <color indexed="81"/>
            <rFont val="Tahoma"/>
            <family val="2"/>
          </rPr>
          <t>CONTASIS:
Este dato debe estar presente en todas las lineas del documento.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DENIS</author>
    <author>Serconssa</author>
  </authors>
  <commentList>
    <comment ref="F10" authorId="0" shapeId="0" xr:uid="{00000000-0006-0000-0100-000001000000}">
      <text>
        <r>
          <rPr>
            <b/>
            <sz val="9"/>
            <color indexed="81"/>
            <rFont val="Tahoma"/>
            <family val="2"/>
          </rPr>
          <t>CONTASIS:
N° comprobante pago, documento, N° de orden del formulario fisico/virtual, N° de DUA,DSI o liquidación de cobranza u otros documentos emitidos por sunat para acreditar el credito fiscal en la importación</t>
        </r>
      </text>
    </comment>
    <comment ref="AB10" authorId="0" shapeId="0" xr:uid="{00000000-0006-0000-0100-000002000000}">
      <text>
        <r>
          <rPr>
            <b/>
            <sz val="9"/>
            <color indexed="81"/>
            <rFont val="Tahoma"/>
            <family val="2"/>
          </rPr>
          <t>CONTASIS:
NUEVOS SOLES (S)
DOLARES AMERICANOS (D)</t>
        </r>
      </text>
    </comment>
    <comment ref="AC10" authorId="0" shapeId="0" xr:uid="{00000000-0006-0000-0100-000003000000}">
      <text>
        <r>
          <rPr>
            <b/>
            <sz val="9"/>
            <color indexed="81"/>
            <rFont val="Tahoma"/>
            <family val="2"/>
          </rPr>
          <t>CONTASIS:
Este dato debe estar presente en todas los documentos cuya moneda sea dolares americanos</t>
        </r>
      </text>
    </comment>
    <comment ref="AE10" authorId="0" shapeId="0" xr:uid="{00000000-0006-0000-0100-000004000000}">
      <text>
        <r>
          <rPr>
            <b/>
            <sz val="9"/>
            <color indexed="81"/>
            <rFont val="Tahoma"/>
            <family val="2"/>
          </rPr>
          <t>CONTASIS:
Contado (CON)
Crédito (CRE)</t>
        </r>
      </text>
    </comment>
    <comment ref="AK10" authorId="0" shapeId="0" xr:uid="{00000000-0006-0000-0100-000005000000}">
      <text>
        <r>
          <rPr>
            <b/>
            <sz val="9"/>
            <color indexed="81"/>
            <rFont val="Tahoma"/>
            <family val="2"/>
          </rPr>
          <t>CONTASIS:
Regimen Especial
1   DETRACCION
2   PERCEPCION
3   RETENCION</t>
        </r>
      </text>
    </comment>
    <comment ref="AL10" authorId="0" shapeId="0" xr:uid="{00000000-0006-0000-0100-000006000000}">
      <text>
        <r>
          <rPr>
            <b/>
            <sz val="9"/>
            <color indexed="81"/>
            <rFont val="Tahoma"/>
            <family val="2"/>
          </rPr>
          <t>CONTASIS:
Porcentaje regimen especial</t>
        </r>
      </text>
    </comment>
    <comment ref="AM10" authorId="0" shapeId="0" xr:uid="{00000000-0006-0000-0100-000007000000}">
      <text>
        <r>
          <rPr>
            <b/>
            <sz val="9"/>
            <color indexed="81"/>
            <rFont val="Tahoma"/>
            <family val="2"/>
          </rPr>
          <t>CONTASIS:
Importe regimen especial</t>
        </r>
      </text>
    </comment>
    <comment ref="AN10" authorId="0" shapeId="0" xr:uid="{00000000-0006-0000-0100-000008000000}">
      <text>
        <r>
          <rPr>
            <b/>
            <sz val="9"/>
            <color indexed="81"/>
            <rFont val="Tahoma"/>
            <family val="2"/>
          </rPr>
          <t>CONTASIS:
Serie documento regimen especial</t>
        </r>
      </text>
    </comment>
    <comment ref="AO10" authorId="0" shapeId="0" xr:uid="{00000000-0006-0000-0100-000009000000}">
      <text>
        <r>
          <rPr>
            <b/>
            <sz val="9"/>
            <color indexed="81"/>
            <rFont val="Tahoma"/>
            <family val="2"/>
          </rPr>
          <t>CONTASIS:
Número documento regimen especial</t>
        </r>
      </text>
    </comment>
    <comment ref="AP10" authorId="0" shapeId="0" xr:uid="{00000000-0006-0000-0100-00000A000000}">
      <text>
        <r>
          <rPr>
            <b/>
            <sz val="9"/>
            <color indexed="81"/>
            <rFont val="Tahoma"/>
            <family val="2"/>
          </rPr>
          <t>CONTASIS:
Fecha documento regimen especial</t>
        </r>
      </text>
    </comment>
    <comment ref="AR10" authorId="0" shapeId="0" xr:uid="{00000000-0006-0000-0100-00000B000000}">
      <text>
        <r>
          <rPr>
            <b/>
            <sz val="9"/>
            <color indexed="81"/>
            <rFont val="Tahoma"/>
            <family val="2"/>
          </rPr>
          <t>CONTASIS:
Porcentaje I.G.V.
Ejemplo :    18.00</t>
        </r>
      </text>
    </comment>
    <comment ref="AS10" authorId="0" shapeId="0" xr:uid="{00000000-0006-0000-0100-00000C000000}">
      <text>
        <r>
          <rPr>
            <b/>
            <sz val="9"/>
            <color indexed="81"/>
            <rFont val="Tahoma"/>
            <family val="2"/>
          </rPr>
          <t>CONTASIS:
Glosa</t>
        </r>
      </text>
    </comment>
    <comment ref="AT10" authorId="0" shapeId="0" xr:uid="{00000000-0006-0000-0100-00000D000000}">
      <text>
        <r>
          <rPr>
            <b/>
            <sz val="9"/>
            <color indexed="81"/>
            <rFont val="Tahoma"/>
            <family val="2"/>
          </rPr>
          <t>CONTASIS:
1: Si está Dentro
2: Si está Fuera</t>
        </r>
      </text>
    </comment>
    <comment ref="AU10" authorId="0" shapeId="0" xr:uid="{00000000-0006-0000-0100-00000E000000}">
      <text>
        <r>
          <rPr>
            <b/>
            <sz val="9"/>
            <color indexed="81"/>
            <rFont val="Tahoma"/>
            <family val="2"/>
          </rPr>
          <t>CONTASIS:
Importe para cálculo de Régimen Especial</t>
        </r>
      </text>
    </comment>
    <comment ref="I11" authorId="0" shapeId="0" xr:uid="{00000000-0006-0000-0100-00000F000000}">
      <text>
        <r>
          <rPr>
            <b/>
            <sz val="9"/>
            <color indexed="81"/>
            <rFont val="Tahoma"/>
            <family val="2"/>
          </rPr>
          <t>CONTASIS:
Modo de ingreso: 
Para Razón Social
Ejem: INDUSTRIAS PERUANAS S.A.
Para apellidos y nombres separados por comas
PATERNO,MATERNO,NOMBRE1,NOMBRE2
Ejem: PEREZ,SOSA,JUAN,LUIS</t>
        </r>
      </text>
    </comment>
    <comment ref="C12" authorId="0" shapeId="0" xr:uid="{00000000-0006-0000-0100-000010000000}">
      <text>
        <r>
          <rPr>
            <b/>
            <sz val="9"/>
            <color indexed="81"/>
            <rFont val="Tahoma"/>
            <family val="2"/>
          </rPr>
          <t xml:space="preserve">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12" authorId="0" shapeId="0" xr:uid="{00000000-0006-0000-0100-000011000000}">
      <text>
        <r>
          <rPr>
            <b/>
            <sz val="9"/>
            <color indexed="81"/>
            <rFont val="Tahoma"/>
            <family val="2"/>
          </rPr>
          <t>CONTASIS:
Serie o codigo de la dependencia aduanera</t>
        </r>
      </text>
    </comment>
    <comment ref="G12" authorId="0" shapeId="0" xr:uid="{00000000-0006-0000-0100-000012000000}">
      <text>
        <r>
          <rPr>
            <b/>
            <sz val="9"/>
            <color indexed="81"/>
            <rFont val="Tahoma"/>
            <family val="2"/>
          </rPr>
          <t xml:space="preserve">CONTASIS:
Tipo de documento
0  OTROS TIPOS DE DOCUMENTOS
1  DOCUMENTO NACIONAL DE IDENTIDAD (DNI)
4  CARNET DE EXTRANJERIA
6  REGISTRO ÚNICO DE CONTRIBUYENTES
7  PASAPORTE
</t>
        </r>
      </text>
    </comment>
    <comment ref="U12" authorId="0" shapeId="0" xr:uid="{00000000-0006-0000-0100-000013000000}">
      <text>
        <r>
          <rPr>
            <b/>
            <sz val="9"/>
            <color indexed="81"/>
            <rFont val="Tahoma"/>
            <family val="2"/>
          </rPr>
          <t xml:space="preserve">CONTASIS:
SERIE-NUMERO (Serie 6 Carac - Numero 13 Carac)
NUMERO (13 Carac)
</t>
        </r>
      </text>
    </comment>
    <comment ref="Y12" authorId="0" shapeId="0" xr:uid="{00000000-0006-0000-0100-000014000000}">
      <text>
        <r>
          <rPr>
            <b/>
            <sz val="9"/>
            <color indexed="81"/>
            <rFont val="Tahoma"/>
            <family val="2"/>
          </rPr>
          <t xml:space="preserve">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A13" authorId="0" shapeId="0" xr:uid="{00000000-0006-0000-0100-000015000000}">
      <text>
        <r>
          <rPr>
            <b/>
            <sz val="9"/>
            <color indexed="81"/>
            <rFont val="Tahoma"/>
            <family val="2"/>
          </rPr>
          <t>CONTASIS:
Este dato debe estar presente en todas las lineas del documento.</t>
        </r>
      </text>
    </comment>
    <comment ref="B13" authorId="0" shapeId="0" xr:uid="{00000000-0006-0000-0100-000016000000}">
      <text>
        <r>
          <rPr>
            <b/>
            <sz val="9"/>
            <color indexed="81"/>
            <rFont val="Tahoma"/>
            <family val="2"/>
          </rPr>
          <t>CONTASIS:
Este dato debe estar presente en todas las lineas del documento.</t>
        </r>
      </text>
    </comment>
    <comment ref="C13" authorId="0" shapeId="0" xr:uid="{00000000-0006-0000-0100-000017000000}">
      <text>
        <r>
          <rPr>
            <b/>
            <sz val="9"/>
            <color indexed="81"/>
            <rFont val="Tahoma"/>
            <family val="2"/>
          </rPr>
          <t>CONTASIS:
Este dato debe estar presente en todas las lineas del documento.</t>
        </r>
      </text>
    </comment>
    <comment ref="D13" authorId="0" shapeId="0" xr:uid="{00000000-0006-0000-0100-000018000000}">
      <text>
        <r>
          <rPr>
            <b/>
            <sz val="9"/>
            <color indexed="81"/>
            <rFont val="Tahoma"/>
            <family val="2"/>
          </rPr>
          <t>CONTASIS:
Este dato debe estar presente en todas las lineas del documento.</t>
        </r>
      </text>
    </comment>
    <comment ref="E13" authorId="0" shapeId="0" xr:uid="{00000000-0006-0000-0100-000019000000}">
      <text>
        <r>
          <rPr>
            <b/>
            <sz val="9"/>
            <color indexed="81"/>
            <rFont val="Tahoma"/>
            <family val="2"/>
          </rPr>
          <t>CONTASIS:
Este dato debe estar presente en todas las lineas del documento.</t>
        </r>
      </text>
    </comment>
    <comment ref="F13" authorId="0" shapeId="0" xr:uid="{00000000-0006-0000-0100-00001A000000}">
      <text>
        <r>
          <rPr>
            <b/>
            <sz val="9"/>
            <color indexed="81"/>
            <rFont val="Tahoma"/>
            <family val="2"/>
          </rPr>
          <t>CONTASIS:
Este dato debe estar presente en todas las lineas del documento.</t>
        </r>
      </text>
    </comment>
    <comment ref="G13" authorId="0" shapeId="0" xr:uid="{00000000-0006-0000-0100-00001B000000}">
      <text>
        <r>
          <rPr>
            <b/>
            <sz val="9"/>
            <color indexed="81"/>
            <rFont val="Tahoma"/>
            <family val="2"/>
          </rPr>
          <t>CONTASIS:
Este dato debe estar presente en todas las lineas del documento.</t>
        </r>
      </text>
    </comment>
    <comment ref="H13" authorId="0" shapeId="0" xr:uid="{00000000-0006-0000-0100-00001C000000}">
      <text>
        <r>
          <rPr>
            <b/>
            <sz val="9"/>
            <color indexed="81"/>
            <rFont val="Tahoma"/>
            <family val="2"/>
          </rPr>
          <t>CONTASIS:
Este dato debe estar presente en todas las lineas del documento.</t>
        </r>
      </text>
    </comment>
    <comment ref="I13" authorId="0" shapeId="0" xr:uid="{00000000-0006-0000-0100-00001D000000}">
      <text>
        <r>
          <rPr>
            <b/>
            <sz val="9"/>
            <color indexed="81"/>
            <rFont val="Tahoma"/>
            <family val="2"/>
          </rPr>
          <t>CONTASIS:
Este dato debe estar presente en todas las lineas del documento.</t>
        </r>
      </text>
    </comment>
    <comment ref="T13" authorId="0" shapeId="0" xr:uid="{00000000-0006-0000-0100-00001E000000}">
      <text>
        <r>
          <rPr>
            <b/>
            <sz val="9"/>
            <color indexed="81"/>
            <rFont val="Tahoma"/>
            <family val="2"/>
          </rPr>
          <t>CONTASIS:
Este dato debe estar presente en todas las lineas del documento.</t>
        </r>
      </text>
    </comment>
    <comment ref="U13" authorId="0" shapeId="0" xr:uid="{00000000-0006-0000-0100-00001F000000}">
      <text>
        <r>
          <rPr>
            <b/>
            <sz val="9"/>
            <color indexed="81"/>
            <rFont val="Tahoma"/>
            <family val="2"/>
          </rPr>
          <t>CONTASIS:
Este dato debe estar presente en todas las lineas del documento.</t>
        </r>
      </text>
    </comment>
    <comment ref="V13" authorId="0" shapeId="0" xr:uid="{00000000-0006-0000-0100-000020000000}">
      <text>
        <r>
          <rPr>
            <b/>
            <sz val="9"/>
            <color indexed="81"/>
            <rFont val="Tahoma"/>
            <family val="2"/>
          </rPr>
          <t>CONTASIS:
Este dato debe estar presente en todas las lineas del documento.</t>
        </r>
      </text>
    </comment>
    <comment ref="W13" authorId="0" shapeId="0" xr:uid="{00000000-0006-0000-0100-000021000000}">
      <text>
        <r>
          <rPr>
            <b/>
            <sz val="9"/>
            <color indexed="81"/>
            <rFont val="Tahoma"/>
            <family val="2"/>
          </rPr>
          <t>CONTASIS:
Este dato debe estar presente en todas las lineas del documento.</t>
        </r>
      </text>
    </comment>
    <comment ref="X13" authorId="0" shapeId="0" xr:uid="{00000000-0006-0000-0100-000022000000}">
      <text>
        <r>
          <rPr>
            <b/>
            <sz val="9"/>
            <color indexed="81"/>
            <rFont val="Tahoma"/>
            <family val="2"/>
          </rPr>
          <t>CONTASIS:
Este dato debe estar presente en todas las lineas del documento.</t>
        </r>
      </text>
    </comment>
    <comment ref="Y13" authorId="0" shapeId="0" xr:uid="{00000000-0006-0000-0100-000023000000}">
      <text>
        <r>
          <rPr>
            <b/>
            <sz val="9"/>
            <color indexed="81"/>
            <rFont val="Tahoma"/>
            <family val="2"/>
          </rPr>
          <t>CONTASIS:
Este dato debe estar presente en todas las lineas del documento.</t>
        </r>
      </text>
    </comment>
    <comment ref="Z13" authorId="0" shapeId="0" xr:uid="{00000000-0006-0000-0100-000024000000}">
      <text>
        <r>
          <rPr>
            <b/>
            <sz val="9"/>
            <color indexed="81"/>
            <rFont val="Tahoma"/>
            <family val="2"/>
          </rPr>
          <t>CONTASIS:
Este dato debe estar presente en todas las lineas del documento.</t>
        </r>
      </text>
    </comment>
    <comment ref="AA13" authorId="0" shapeId="0" xr:uid="{00000000-0006-0000-0100-000025000000}">
      <text>
        <r>
          <rPr>
            <b/>
            <sz val="9"/>
            <color indexed="81"/>
            <rFont val="Tahoma"/>
            <family val="2"/>
          </rPr>
          <t>CONTASIS:
Este dato debe estar presente en todas las lineas del documento.</t>
        </r>
      </text>
    </comment>
    <comment ref="AB13" authorId="0" shapeId="0" xr:uid="{00000000-0006-0000-0100-000026000000}">
      <text>
        <r>
          <rPr>
            <b/>
            <sz val="9"/>
            <color indexed="81"/>
            <rFont val="Tahoma"/>
            <family val="2"/>
          </rPr>
          <t>CONTASIS:
Este dato debe estar presente en todas las lineas del documento.</t>
        </r>
      </text>
    </comment>
    <comment ref="AD13" authorId="0" shapeId="0" xr:uid="{00000000-0006-0000-0100-000027000000}">
      <text>
        <r>
          <rPr>
            <b/>
            <sz val="9"/>
            <color indexed="81"/>
            <rFont val="Tahoma"/>
            <family val="2"/>
          </rPr>
          <t>CONTASIS:
Este dato debe estar presente en todas las lineas del documento.</t>
        </r>
      </text>
    </comment>
    <comment ref="AE13" authorId="0" shapeId="0" xr:uid="{00000000-0006-0000-0100-000028000000}">
      <text>
        <r>
          <rPr>
            <b/>
            <sz val="9"/>
            <color indexed="81"/>
            <rFont val="Tahoma"/>
            <family val="2"/>
          </rPr>
          <t>CONTASIS:
Este dato debe estar presente en todas las lineas del documento.</t>
        </r>
      </text>
    </comment>
    <comment ref="F14" authorId="1" shapeId="0" xr:uid="{A9051180-9AAB-43AA-848C-926CFBC5C3E2}">
      <text>
        <r>
          <rPr>
            <b/>
            <sz val="11"/>
            <color indexed="81"/>
            <rFont val="Tahoma"/>
            <family val="2"/>
          </rPr>
          <t>Serconssa:
ANTES 8333</t>
        </r>
      </text>
    </comment>
    <comment ref="W14" authorId="1" shapeId="0" xr:uid="{C4D8F15B-19A5-43C6-9541-5931E2954AED}">
      <text>
        <r>
          <rPr>
            <b/>
            <sz val="11"/>
            <color indexed="81"/>
            <rFont val="Tahoma"/>
            <family val="2"/>
          </rPr>
          <t>Serconssa:</t>
        </r>
        <r>
          <rPr>
            <sz val="11"/>
            <color indexed="81"/>
            <rFont val="Tahoma"/>
            <family val="2"/>
          </rPr>
          <t xml:space="preserve">
</t>
        </r>
      </text>
    </comment>
  </commentList>
</comments>
</file>

<file path=xl/sharedStrings.xml><?xml version="1.0" encoding="utf-8"?>
<sst xmlns="http://schemas.openxmlformats.org/spreadsheetml/2006/main" count="308" uniqueCount="90">
  <si>
    <t>NOTA :</t>
  </si>
  <si>
    <t>1.- Usar Microsoft Excel 97-2003 ó Microsoft Excel 2007</t>
  </si>
  <si>
    <t>2.- Llenar los datos en la Fila y Columna de acuerdo a la cantidad de caracteres y/o numeros</t>
  </si>
  <si>
    <t>3.- Eliminar la Fila 1 a 13 dejando solo los ingresos realizados</t>
  </si>
  <si>
    <t>4.- Guardar el archivo en formato .xls (Ms. Excel 97-2003) ó .xlsx (Ms. Excel 2007)</t>
  </si>
  <si>
    <t>FORMATO REGISTRO DE VENTAS  - SISTEMA EXPERTO CONTABLE 14.00</t>
  </si>
  <si>
    <t>FECHA DE EMISION DEL COMPROBANTE DE PAGO O DOCUMENTO</t>
  </si>
  <si>
    <t>dd/mm/yyyy</t>
  </si>
  <si>
    <t>FECHA DE VENCIMIENTO O FECHA DE PAGO</t>
  </si>
  <si>
    <t>COMPROBANTE DE PAGO O DOCUMENTO</t>
  </si>
  <si>
    <t>TIPO</t>
  </si>
  <si>
    <t>02 CARACTERES</t>
  </si>
  <si>
    <t>N° SERIE/N° SERIE MAQ REGIS</t>
  </si>
  <si>
    <t>06 CARACTERES</t>
  </si>
  <si>
    <t>NUMERO</t>
  </si>
  <si>
    <t>13 CARACTERES</t>
  </si>
  <si>
    <t>INFORMACION DEL CLIENTE</t>
  </si>
  <si>
    <t>DOCUMENTO IDENTIDAD</t>
  </si>
  <si>
    <t>01 CARACTER</t>
  </si>
  <si>
    <t>11 CARACTERES</t>
  </si>
  <si>
    <t>APELLIDOS Y NOMBRES, DENOMINACION O RAZON SOCIAL</t>
  </si>
  <si>
    <t>60 CARACTERES</t>
  </si>
  <si>
    <t>VALOR FACTURADO DE LA EXPORTACION</t>
  </si>
  <si>
    <t>(15,2) NUMERICO</t>
  </si>
  <si>
    <t>BASE IMPONIBLE DE LA OPERACION GRAVADA</t>
  </si>
  <si>
    <t>IMPORTE TOTAL DE LA OPERACION EXONERADA O INAFECTA</t>
  </si>
  <si>
    <t>EXONERADA</t>
  </si>
  <si>
    <t>INAFECTA</t>
  </si>
  <si>
    <t>ISC</t>
  </si>
  <si>
    <t>IGV Y/O IPM</t>
  </si>
  <si>
    <t>OTROS TRIBUTOS Y CARGOS QUE NO FORMAN PARTE DE LA BASE IMPONIBLE</t>
  </si>
  <si>
    <t>IMPORTE TOTAL DEL COMPROBANTE DE PAGO</t>
  </si>
  <si>
    <t>TIPO DE CAMBIO</t>
  </si>
  <si>
    <t>(10,4) NUMERICO</t>
  </si>
  <si>
    <t>REFERENCIA DEL COMPROBANTE DE PAGO O DOCUMENTO ORIGINAL QUE SE MODIFICA</t>
  </si>
  <si>
    <t>FECHA</t>
  </si>
  <si>
    <t>SERIE</t>
  </si>
  <si>
    <t>N° COMPROBANTE PAGO O DOCUMENTO</t>
  </si>
  <si>
    <t>MONEDA</t>
  </si>
  <si>
    <t>EQUIVALENTE EN DOLARES AMERICANOS</t>
  </si>
  <si>
    <t>FECHA VENCIMIENTO</t>
  </si>
  <si>
    <t>CONDICION CONTADO/CREDITO</t>
  </si>
  <si>
    <t>03 CARACTERES</t>
  </si>
  <si>
    <t>CODIGO CENTRO DE COSTOS</t>
  </si>
  <si>
    <t>09 CARACTERES</t>
  </si>
  <si>
    <t>CODIGO CENTRO DE COSTOS 2</t>
  </si>
  <si>
    <t>CUENTA CONTABLE BASE IMPONIBLE</t>
  </si>
  <si>
    <t>10 CARACTERES</t>
  </si>
  <si>
    <t>CUENTA CONTABLE OTROS TRIBUTOS Y CARGOS</t>
  </si>
  <si>
    <t>CUENTA CONTABLE TOTAL</t>
  </si>
  <si>
    <t>REGIMEN ESPECIAL</t>
  </si>
  <si>
    <t>1 NUMERICO</t>
  </si>
  <si>
    <t>PORCENTAJE REGIMEN ESPECIAL</t>
  </si>
  <si>
    <t>(5,2) NUMERICO</t>
  </si>
  <si>
    <t>IMPORTE REGIMEN ESPECIAL</t>
  </si>
  <si>
    <t>SERIE DOCUMENTO REGIMEN ESPECIAL</t>
  </si>
  <si>
    <t>NUMERO DOCUMENTO REGIMEN ESPECIAL</t>
  </si>
  <si>
    <t>FECHA DOCUMENTO REGIMEN ESPECIAL</t>
  </si>
  <si>
    <t>CODIGO PRESUPUESTO</t>
  </si>
  <si>
    <t>PORCENTAJE I.G.V.</t>
  </si>
  <si>
    <t>GLOSA</t>
  </si>
  <si>
    <t>MEDIO DE PAGO</t>
  </si>
  <si>
    <t>CONDICIÓN DE PERCEPCIÓN</t>
  </si>
  <si>
    <t>IMPORTE PARA CALCULO RÉGIMEN ESPECIAL</t>
  </si>
  <si>
    <t>FORMATO REGISTRO DE COMPRAS  - SISTEMA EXPERTO CONTABLE 14.00</t>
  </si>
  <si>
    <t>N° COMPROBANTE PAGO</t>
  </si>
  <si>
    <t>INFORMACION PROVEEDOR</t>
  </si>
  <si>
    <t>ADQUISICIONES GRAVADAS DESTINADAS A OPERACIONES GRAVADAS Y/O EXPORTACION</t>
  </si>
  <si>
    <t>ADQUISICIONES GRAVADAS DESTINADAS A OPERACIONES GRAVADAS Y/O DE EXPORTACION Y A OPERACIONES NO GRAVADAS</t>
  </si>
  <si>
    <t>ADQUISICIONES GRAVADAS DESTINADAS A OPERACIONES NO GRAVADAS</t>
  </si>
  <si>
    <t>VALOR DE LAS ADQUISICIONES NO GRAVADAS</t>
  </si>
  <si>
    <t>OTROS TRIBUTOS Y CARGOS</t>
  </si>
  <si>
    <t>IMPORTE TOTAL</t>
  </si>
  <si>
    <t>N° COMPROBANTE DE PAGO EMITIDO POR SUJETO NO DOMICILIADO</t>
  </si>
  <si>
    <t>CONSTANCIA DE DEPOSITO DE DETRACCION</t>
  </si>
  <si>
    <t>IMPORTE RÉGIMEN ESPECIAL</t>
  </si>
  <si>
    <t>SERIE/CODIGO ADUANA</t>
  </si>
  <si>
    <t>AÑO EMISION DUA O DSI</t>
  </si>
  <si>
    <t>BASE IMPONIBLE</t>
  </si>
  <si>
    <t>IGV</t>
  </si>
  <si>
    <t>FECHA EMISION</t>
  </si>
  <si>
    <t>04 CARACTERES</t>
  </si>
  <si>
    <t>20 CARACTERES</t>
  </si>
  <si>
    <t>TOTAL</t>
  </si>
  <si>
    <t>01</t>
  </si>
  <si>
    <t xml:space="preserve">TOTAL </t>
  </si>
  <si>
    <t>RENTA</t>
  </si>
  <si>
    <t>S</t>
  </si>
  <si>
    <t>CON</t>
  </si>
  <si>
    <t>70121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</si>
</sst>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0"/>
    <numFmt numFmtId="165" formatCode="_ * #,##0_ ;_ * \-#,##0_ ;_ * &quot;-&quot;??_ ;_ @_ "/>
    <numFmt numFmtId="166" formatCode="_ * #,##0.000_ ;_ * \-#,##0.000_ ;_ * &quot;-&quot;??_ ;_ @_ "/>
  </numFmts>
  <fonts count="21" x14ac:knownFonts="1">
    <font>
      <sz val="11"/>
      <color theme="1"/>
      <name val="Calibri"/>
      <family val="2"/>
      <scheme val="minor"/>
    </font>
    <font>
      <b/>
      <sz val="9"/>
      <color indexed="81"/>
      <name val="Tahoma"/>
      <family val="2"/>
    </font>
    <font>
      <sz val="9"/>
      <color theme="1"/>
      <name val="Century"/>
      <family val="1"/>
    </font>
    <font>
      <sz val="7.5"/>
      <color theme="1"/>
      <name val="Century"/>
      <family val="1"/>
    </font>
    <font>
      <sz val="7.5"/>
      <color rgb="FF0000FF"/>
      <name val="Century"/>
      <family val="1"/>
    </font>
    <font>
      <sz val="7"/>
      <color theme="1"/>
      <name val="Century"/>
      <family val="1"/>
    </font>
    <font>
      <sz val="7"/>
      <color rgb="FF0000FF"/>
      <name val="Century"/>
      <family val="1"/>
    </font>
    <font>
      <b/>
      <sz val="9"/>
      <color theme="1"/>
      <name val="Century"/>
      <family val="1"/>
    </font>
    <font>
      <sz val="12"/>
      <color theme="1"/>
      <name val="Century"/>
      <family val="1"/>
    </font>
    <font>
      <sz val="11"/>
      <color theme="1"/>
      <name val="Calibri"/>
      <family val="2"/>
      <scheme val="minor"/>
    </font>
    <font>
      <sz val="8"/>
      <name val="Calibri"/>
      <family val="2"/>
      <scheme val="minor"/>
    </font>
    <font>
      <sz val="9"/>
      <color theme="1"/>
      <name val="Calibri Light"/>
      <family val="2"/>
    </font>
    <font>
      <sz val="9"/>
      <color theme="1"/>
      <name val="Calibri Light"/>
      <family val="2"/>
      <scheme val="major"/>
    </font>
    <font>
      <sz val="9"/>
      <color rgb="FF0000FF"/>
      <name val="Calibri Light"/>
      <family val="2"/>
    </font>
    <font>
      <b/>
      <sz val="9"/>
      <color theme="1"/>
      <name val="Calibri Light"/>
      <family val="2"/>
    </font>
    <font>
      <b/>
      <sz val="8"/>
      <color theme="1"/>
      <name val="Century"/>
      <family val="1"/>
    </font>
    <font>
      <sz val="9"/>
      <color rgb="FF0000FF"/>
      <name val="Calibri Light"/>
      <family val="2"/>
      <scheme val="major"/>
    </font>
    <font>
      <sz val="9"/>
      <color theme="0"/>
      <name val="Calibri Light"/>
      <family val="2"/>
      <scheme val="major"/>
    </font>
    <font>
      <b/>
      <sz val="11"/>
      <color indexed="81"/>
      <name val="Tahoma"/>
      <family val="2"/>
    </font>
    <font>
      <sz val="11"/>
      <color indexed="81"/>
      <name val="Tahoma"/>
      <family val="2"/>
    </font>
    <font>
      <sz val="8"/>
      <color theme="1"/>
      <name val="Calibri Light"/>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auto="1"/>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auto="1"/>
      </top>
      <bottom/>
      <diagonal/>
    </border>
    <border>
      <left/>
      <right style="thin">
        <color indexed="64"/>
      </right>
      <top style="thin">
        <color auto="1"/>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indexed="64"/>
      </bottom>
      <diagonal/>
    </border>
    <border>
      <left/>
      <right/>
      <top style="thin">
        <color auto="1"/>
      </top>
      <bottom/>
      <diagonal/>
    </border>
    <border>
      <left/>
      <right/>
      <top/>
      <bottom style="thin">
        <color indexed="64"/>
      </bottom>
      <diagonal/>
    </border>
  </borders>
  <cellStyleXfs count="4">
    <xf numFmtId="0" fontId="0"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cellStyleXfs>
  <cellXfs count="153">
    <xf numFmtId="0" fontId="0" fillId="0" borderId="0" xfId="0"/>
    <xf numFmtId="14" fontId="2" fillId="0" borderId="0" xfId="0" applyNumberFormat="1" applyFont="1" applyAlignment="1">
      <alignment horizontal="center"/>
    </xf>
    <xf numFmtId="49" fontId="2" fillId="0" borderId="0" xfId="0" applyNumberFormat="1" applyFont="1" applyAlignment="1">
      <alignment horizontal="center"/>
    </xf>
    <xf numFmtId="4" fontId="2" fillId="0" borderId="0" xfId="0" applyNumberFormat="1" applyFont="1" applyAlignment="1">
      <alignment horizontal="center"/>
    </xf>
    <xf numFmtId="164" fontId="2" fillId="0" borderId="0" xfId="0" applyNumberFormat="1" applyFont="1" applyAlignment="1">
      <alignment horizontal="center"/>
    </xf>
    <xf numFmtId="3" fontId="2" fillId="0" borderId="0" xfId="0" applyNumberFormat="1" applyFont="1" applyAlignment="1">
      <alignment horizontal="center"/>
    </xf>
    <xf numFmtId="0" fontId="2" fillId="0" borderId="0" xfId="0" applyFont="1" applyAlignment="1">
      <alignment horizontal="center"/>
    </xf>
    <xf numFmtId="14" fontId="2"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4" fontId="2" fillId="0" borderId="0" xfId="0" applyNumberFormat="1" applyFont="1" applyAlignment="1">
      <alignment horizontal="center" vertical="center" wrapText="1"/>
    </xf>
    <xf numFmtId="164" fontId="2" fillId="0" borderId="0" xfId="0" applyNumberFormat="1" applyFont="1" applyAlignment="1">
      <alignment horizontal="center" vertical="center" wrapText="1"/>
    </xf>
    <xf numFmtId="3" fontId="2" fillId="0" borderId="0" xfId="0" applyNumberFormat="1" applyFont="1" applyAlignment="1">
      <alignment horizontal="center" vertical="center" wrapText="1"/>
    </xf>
    <xf numFmtId="0" fontId="3" fillId="0" borderId="0" xfId="0" applyFont="1" applyAlignment="1">
      <alignment horizontal="center"/>
    </xf>
    <xf numFmtId="49" fontId="3" fillId="0" borderId="1" xfId="0" applyNumberFormat="1" applyFont="1" applyBorder="1" applyAlignment="1">
      <alignment horizontal="center" vertical="center" wrapText="1"/>
    </xf>
    <xf numFmtId="4"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5" fillId="0" borderId="0" xfId="0" applyNumberFormat="1" applyFont="1" applyAlignment="1">
      <alignment horizontal="center"/>
    </xf>
    <xf numFmtId="49" fontId="5" fillId="0" borderId="0" xfId="0" applyNumberFormat="1" applyFont="1" applyAlignment="1">
      <alignment horizontal="center" vertical="center" wrapText="1"/>
    </xf>
    <xf numFmtId="4" fontId="7" fillId="0" borderId="0" xfId="0" applyNumberFormat="1" applyFont="1" applyAlignment="1">
      <alignment horizontal="center"/>
    </xf>
    <xf numFmtId="14" fontId="4" fillId="0" borderId="2"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49" fontId="6" fillId="0" borderId="2" xfId="0" applyNumberFormat="1" applyFont="1" applyBorder="1" applyAlignment="1">
      <alignment horizontal="center" vertical="center" wrapText="1"/>
    </xf>
    <xf numFmtId="4" fontId="4" fillId="0" borderId="2"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 fontId="2" fillId="0" borderId="1" xfId="0" applyNumberFormat="1" applyFont="1" applyBorder="1" applyAlignment="1">
      <alignment horizontal="center" vertical="center" wrapText="1"/>
    </xf>
    <xf numFmtId="4" fontId="7" fillId="0" borderId="1" xfId="0" applyNumberFormat="1" applyFont="1" applyBorder="1" applyAlignment="1">
      <alignment horizontal="center" vertical="center" wrapText="1"/>
    </xf>
    <xf numFmtId="43" fontId="13" fillId="0" borderId="2" xfId="1" applyFont="1" applyBorder="1" applyAlignment="1">
      <alignment vertical="center" wrapText="1"/>
    </xf>
    <xf numFmtId="43" fontId="11" fillId="0" borderId="0" xfId="1" applyFont="1" applyAlignment="1"/>
    <xf numFmtId="165" fontId="15" fillId="0" borderId="1" xfId="1" applyNumberFormat="1" applyFont="1" applyBorder="1" applyAlignment="1">
      <alignment horizontal="center" vertical="center" wrapText="1"/>
    </xf>
    <xf numFmtId="165" fontId="15" fillId="0" borderId="0" xfId="1" applyNumberFormat="1" applyFont="1" applyAlignment="1">
      <alignment horizontal="center" vertical="center" wrapText="1"/>
    </xf>
    <xf numFmtId="165" fontId="7" fillId="0" borderId="1" xfId="1" applyNumberFormat="1" applyFont="1" applyBorder="1" applyAlignment="1">
      <alignment horizontal="center" vertical="center" wrapText="1"/>
    </xf>
    <xf numFmtId="165" fontId="2" fillId="0" borderId="0" xfId="1" applyNumberFormat="1" applyFont="1" applyAlignment="1">
      <alignment horizontal="center" vertical="center" wrapText="1"/>
    </xf>
    <xf numFmtId="166" fontId="2" fillId="0" borderId="0" xfId="1" applyNumberFormat="1" applyFont="1" applyAlignment="1">
      <alignment horizontal="center"/>
    </xf>
    <xf numFmtId="166" fontId="4" fillId="0" borderId="2" xfId="1" applyNumberFormat="1" applyFont="1" applyBorder="1" applyAlignment="1">
      <alignment horizontal="center" vertical="center" wrapText="1"/>
    </xf>
    <xf numFmtId="166" fontId="2" fillId="0" borderId="1" xfId="1" applyNumberFormat="1" applyFont="1" applyBorder="1" applyAlignment="1">
      <alignment horizontal="center" vertical="center" wrapText="1"/>
    </xf>
    <xf numFmtId="166" fontId="2" fillId="0" borderId="0" xfId="1" applyNumberFormat="1" applyFont="1" applyAlignment="1">
      <alignment horizontal="center" vertical="center" wrapText="1"/>
    </xf>
    <xf numFmtId="165" fontId="11" fillId="0" borderId="0" xfId="1" applyNumberFormat="1" applyFont="1" applyAlignment="1"/>
    <xf numFmtId="49" fontId="4" fillId="0" borderId="4" xfId="0" applyNumberFormat="1" applyFont="1" applyBorder="1" applyAlignment="1">
      <alignment horizontal="center" vertical="center" wrapText="1"/>
    </xf>
    <xf numFmtId="4" fontId="4" fillId="0" borderId="4" xfId="0" applyNumberFormat="1" applyFont="1" applyBorder="1" applyAlignment="1">
      <alignment horizontal="center" vertical="center" wrapText="1"/>
    </xf>
    <xf numFmtId="0" fontId="3" fillId="0" borderId="0" xfId="0" applyFont="1" applyAlignment="1">
      <alignment horizontal="center" vertical="center"/>
    </xf>
    <xf numFmtId="43" fontId="11" fillId="0" borderId="1" xfId="1" applyFont="1" applyFill="1" applyBorder="1" applyAlignment="1">
      <alignment vertical="center" wrapText="1"/>
    </xf>
    <xf numFmtId="14" fontId="12" fillId="0" borderId="1" xfId="0" applyNumberFormat="1" applyFont="1" applyBorder="1" applyAlignment="1">
      <alignment horizontal="center" vertical="center" wrapText="1"/>
    </xf>
    <xf numFmtId="49"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43" fontId="12" fillId="0" borderId="1" xfId="2" applyFont="1" applyBorder="1" applyAlignment="1">
      <alignment horizontal="center" vertical="center" wrapText="1"/>
    </xf>
    <xf numFmtId="14" fontId="12" fillId="0" borderId="1" xfId="0" applyNumberFormat="1" applyFont="1" applyBorder="1" applyAlignment="1">
      <alignment horizontal="center" vertical="center"/>
    </xf>
    <xf numFmtId="0" fontId="12" fillId="0" borderId="1" xfId="0" applyFont="1" applyBorder="1" applyAlignment="1">
      <alignment horizontal="center" vertical="center"/>
    </xf>
    <xf numFmtId="43" fontId="12" fillId="0" borderId="1" xfId="2" applyFont="1" applyBorder="1" applyAlignment="1">
      <alignment horizontal="center" vertical="center"/>
    </xf>
    <xf numFmtId="166" fontId="12" fillId="0" borderId="1" xfId="2" applyNumberFormat="1" applyFont="1" applyBorder="1" applyAlignment="1">
      <alignment vertical="center"/>
    </xf>
    <xf numFmtId="164" fontId="12" fillId="0" borderId="1" xfId="0" applyNumberFormat="1" applyFont="1" applyBorder="1" applyAlignment="1">
      <alignment horizontal="center" vertical="center" wrapText="1"/>
    </xf>
    <xf numFmtId="1" fontId="12" fillId="0" borderId="1" xfId="0" applyNumberFormat="1" applyFont="1" applyBorder="1" applyAlignment="1">
      <alignment horizontal="center" vertical="center" wrapText="1"/>
    </xf>
    <xf numFmtId="49" fontId="16" fillId="0" borderId="1" xfId="0" applyNumberFormat="1" applyFont="1" applyBorder="1" applyAlignment="1">
      <alignment horizontal="center" vertical="center" wrapText="1"/>
    </xf>
    <xf numFmtId="3" fontId="16" fillId="0" borderId="4" xfId="0" applyNumberFormat="1" applyFont="1" applyBorder="1" applyAlignment="1">
      <alignment horizontal="center" vertical="center" wrapText="1"/>
    </xf>
    <xf numFmtId="4" fontId="16" fillId="0" borderId="4" xfId="0" applyNumberFormat="1" applyFont="1" applyBorder="1" applyAlignment="1">
      <alignment horizontal="center" vertical="center" wrapText="1"/>
    </xf>
    <xf numFmtId="49" fontId="16" fillId="0" borderId="4" xfId="0" applyNumberFormat="1" applyFont="1" applyBorder="1" applyAlignment="1">
      <alignment horizontal="center" vertical="center" wrapText="1"/>
    </xf>
    <xf numFmtId="14" fontId="16" fillId="0" borderId="4" xfId="0" applyNumberFormat="1" applyFont="1" applyBorder="1" applyAlignment="1">
      <alignment horizontal="center" vertical="center" wrapText="1"/>
    </xf>
    <xf numFmtId="0" fontId="12" fillId="0" borderId="1" xfId="0" applyFont="1" applyBorder="1" applyAlignment="1">
      <alignment horizontal="left" vertical="center"/>
    </xf>
    <xf numFmtId="14" fontId="11" fillId="0" borderId="0" xfId="0" applyNumberFormat="1" applyFont="1"/>
    <xf numFmtId="49" fontId="11" fillId="0" borderId="0" xfId="0" applyNumberFormat="1" applyFont="1"/>
    <xf numFmtId="4" fontId="11" fillId="0" borderId="0" xfId="0" applyNumberFormat="1" applyFont="1"/>
    <xf numFmtId="164" fontId="11" fillId="0" borderId="0" xfId="0" applyNumberFormat="1" applyFont="1"/>
    <xf numFmtId="3" fontId="11" fillId="0" borderId="0" xfId="0" applyNumberFormat="1" applyFont="1"/>
    <xf numFmtId="0" fontId="11" fillId="0" borderId="0" xfId="0" applyFont="1"/>
    <xf numFmtId="14" fontId="13" fillId="0" borderId="2" xfId="0" applyNumberFormat="1" applyFont="1" applyBorder="1" applyAlignment="1">
      <alignment vertical="center" wrapText="1"/>
    </xf>
    <xf numFmtId="49" fontId="13" fillId="0" borderId="2" xfId="0" applyNumberFormat="1" applyFont="1" applyBorder="1" applyAlignment="1">
      <alignment vertical="center" wrapText="1"/>
    </xf>
    <xf numFmtId="49" fontId="11" fillId="0" borderId="1" xfId="0" applyNumberFormat="1" applyFont="1" applyBorder="1" applyAlignment="1">
      <alignment vertical="center" wrapText="1"/>
    </xf>
    <xf numFmtId="14" fontId="11" fillId="0" borderId="1" xfId="0" applyNumberFormat="1" applyFont="1" applyBorder="1" applyAlignment="1">
      <alignment vertical="center" wrapText="1"/>
    </xf>
    <xf numFmtId="14" fontId="12" fillId="2" borderId="1" xfId="0" applyNumberFormat="1" applyFont="1" applyFill="1" applyBorder="1" applyAlignment="1">
      <alignment horizontal="center" vertical="center" wrapText="1"/>
    </xf>
    <xf numFmtId="49" fontId="12" fillId="2"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1" xfId="0" applyFont="1" applyFill="1" applyBorder="1" applyAlignment="1">
      <alignment horizontal="center"/>
    </xf>
    <xf numFmtId="0" fontId="12" fillId="2" borderId="1" xfId="0" applyFont="1" applyFill="1" applyBorder="1" applyAlignment="1">
      <alignment horizontal="left" vertical="center" wrapText="1"/>
    </xf>
    <xf numFmtId="43" fontId="12" fillId="2" borderId="1" xfId="1" applyFont="1" applyFill="1" applyBorder="1" applyAlignment="1">
      <alignment horizontal="center" vertical="center" wrapText="1"/>
    </xf>
    <xf numFmtId="166" fontId="17" fillId="2" borderId="1" xfId="1" applyNumberFormat="1" applyFont="1" applyFill="1" applyBorder="1" applyAlignment="1">
      <alignment horizontal="center"/>
    </xf>
    <xf numFmtId="49" fontId="12" fillId="2" borderId="1" xfId="0" applyNumberFormat="1" applyFont="1" applyFill="1" applyBorder="1" applyAlignment="1">
      <alignment horizontal="center"/>
    </xf>
    <xf numFmtId="3" fontId="12" fillId="2" borderId="1" xfId="0" applyNumberFormat="1" applyFont="1" applyFill="1" applyBorder="1" applyAlignment="1">
      <alignment horizontal="center" vertical="center" wrapText="1"/>
    </xf>
    <xf numFmtId="4" fontId="12" fillId="2" borderId="1" xfId="0" applyNumberFormat="1" applyFont="1" applyFill="1" applyBorder="1" applyAlignment="1">
      <alignment horizontal="center" vertical="center" wrapText="1"/>
    </xf>
    <xf numFmtId="49" fontId="12" fillId="2" borderId="1" xfId="0" applyNumberFormat="1" applyFont="1" applyFill="1" applyBorder="1" applyAlignment="1">
      <alignment horizontal="left" vertical="center" wrapText="1"/>
    </xf>
    <xf numFmtId="49" fontId="20" fillId="2" borderId="1" xfId="0" applyNumberFormat="1" applyFont="1" applyFill="1" applyBorder="1" applyAlignment="1">
      <alignment vertical="center" wrapText="1"/>
    </xf>
    <xf numFmtId="4" fontId="20" fillId="2" borderId="1" xfId="0" applyNumberFormat="1" applyFont="1" applyFill="1" applyBorder="1" applyAlignment="1">
      <alignment vertical="center" wrapText="1"/>
    </xf>
    <xf numFmtId="0" fontId="20" fillId="2" borderId="1" xfId="0" applyFont="1" applyFill="1" applyBorder="1"/>
    <xf numFmtId="49" fontId="12" fillId="2" borderId="0" xfId="0" applyNumberFormat="1" applyFont="1" applyFill="1" applyAlignment="1">
      <alignment horizontal="center" vertical="center" wrapText="1"/>
    </xf>
    <xf numFmtId="14" fontId="12" fillId="2" borderId="0" xfId="0" applyNumberFormat="1" applyFont="1" applyFill="1" applyAlignment="1">
      <alignment horizontal="center" vertical="center" wrapText="1"/>
    </xf>
    <xf numFmtId="0" fontId="20" fillId="2" borderId="0" xfId="0" applyFont="1" applyFill="1"/>
    <xf numFmtId="165" fontId="14" fillId="2" borderId="1" xfId="1" applyNumberFormat="1" applyFont="1" applyFill="1" applyBorder="1" applyAlignment="1"/>
    <xf numFmtId="49" fontId="11" fillId="2" borderId="0" xfId="0" applyNumberFormat="1" applyFont="1" applyFill="1"/>
    <xf numFmtId="14" fontId="11" fillId="2" borderId="0" xfId="0" applyNumberFormat="1" applyFont="1" applyFill="1"/>
    <xf numFmtId="0" fontId="11" fillId="2" borderId="0" xfId="0" applyFont="1" applyFill="1"/>
    <xf numFmtId="14" fontId="11" fillId="0" borderId="9" xfId="0" applyNumberFormat="1" applyFont="1" applyBorder="1" applyAlignment="1">
      <alignment vertical="center" wrapText="1"/>
    </xf>
    <xf numFmtId="14" fontId="13" fillId="0" borderId="5" xfId="0" applyNumberFormat="1" applyFont="1" applyBorder="1" applyAlignment="1">
      <alignment vertical="center" wrapText="1"/>
    </xf>
    <xf numFmtId="14" fontId="12" fillId="2" borderId="9" xfId="0" applyNumberFormat="1" applyFont="1" applyFill="1" applyBorder="1" applyAlignment="1">
      <alignment horizontal="center" vertical="center" wrapText="1"/>
    </xf>
    <xf numFmtId="0" fontId="20" fillId="2" borderId="10" xfId="0" applyFont="1" applyFill="1" applyBorder="1"/>
    <xf numFmtId="164" fontId="13" fillId="0" borderId="1" xfId="0" applyNumberFormat="1" applyFont="1" applyBorder="1" applyAlignment="1">
      <alignment vertical="center" wrapText="1"/>
    </xf>
    <xf numFmtId="14" fontId="13" fillId="0" borderId="1" xfId="0" applyNumberFormat="1" applyFont="1" applyBorder="1" applyAlignment="1">
      <alignment vertical="center" wrapText="1"/>
    </xf>
    <xf numFmtId="49" fontId="13" fillId="0" borderId="1" xfId="0" applyNumberFormat="1" applyFont="1" applyBorder="1" applyAlignment="1">
      <alignment vertical="center" wrapText="1"/>
    </xf>
    <xf numFmtId="4" fontId="13" fillId="0" borderId="1" xfId="0" applyNumberFormat="1" applyFont="1" applyBorder="1" applyAlignment="1">
      <alignment vertical="center" wrapText="1"/>
    </xf>
    <xf numFmtId="3" fontId="13" fillId="0" borderId="1" xfId="0" applyNumberFormat="1" applyFont="1" applyBorder="1" applyAlignment="1">
      <alignment vertical="center" wrapText="1"/>
    </xf>
    <xf numFmtId="164" fontId="11" fillId="2" borderId="1" xfId="0" applyNumberFormat="1" applyFont="1" applyFill="1" applyBorder="1"/>
    <xf numFmtId="14" fontId="11" fillId="2" borderId="1" xfId="0" applyNumberFormat="1" applyFont="1" applyFill="1" applyBorder="1"/>
    <xf numFmtId="49" fontId="11" fillId="2" borderId="1" xfId="0" applyNumberFormat="1" applyFont="1" applyFill="1" applyBorder="1"/>
    <xf numFmtId="4" fontId="11" fillId="2" borderId="1" xfId="0" applyNumberFormat="1" applyFont="1" applyFill="1" applyBorder="1"/>
    <xf numFmtId="3" fontId="11" fillId="2" borderId="1" xfId="0" applyNumberFormat="1" applyFont="1" applyFill="1" applyBorder="1"/>
    <xf numFmtId="49" fontId="7" fillId="0" borderId="9" xfId="0" applyNumberFormat="1" applyFont="1" applyBorder="1" applyAlignment="1">
      <alignment horizontal="center" vertical="center" wrapText="1"/>
    </xf>
    <xf numFmtId="49" fontId="7" fillId="0" borderId="10"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8" xfId="0" applyFont="1" applyBorder="1" applyAlignment="1">
      <alignment horizontal="center" vertical="center" wrapText="1"/>
    </xf>
    <xf numFmtId="0" fontId="8" fillId="0" borderId="0" xfId="0" applyFont="1" applyAlignment="1">
      <alignment horizontal="center" vertical="center"/>
    </xf>
    <xf numFmtId="14" fontId="3" fillId="0" borderId="2" xfId="0" applyNumberFormat="1" applyFont="1" applyBorder="1" applyAlignment="1">
      <alignment horizontal="center" vertical="center" wrapText="1"/>
    </xf>
    <xf numFmtId="14" fontId="3" fillId="0" borderId="3" xfId="0" applyNumberFormat="1" applyFont="1" applyBorder="1" applyAlignment="1">
      <alignment horizontal="center" vertical="center" wrapText="1"/>
    </xf>
    <xf numFmtId="14" fontId="3" fillId="0" borderId="4"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7" xfId="0" applyNumberFormat="1" applyFont="1" applyBorder="1" applyAlignment="1">
      <alignment horizontal="center" vertical="center" wrapText="1"/>
    </xf>
    <xf numFmtId="49" fontId="3" fillId="0" borderId="13" xfId="0" applyNumberFormat="1" applyFont="1" applyBorder="1" applyAlignment="1">
      <alignment horizontal="center" vertical="center" wrapText="1"/>
    </xf>
    <xf numFmtId="49" fontId="3" fillId="0" borderId="8" xfId="0" applyNumberFormat="1" applyFont="1" applyBorder="1" applyAlignment="1">
      <alignment horizontal="center" vertical="center" wrapText="1"/>
    </xf>
    <xf numFmtId="49" fontId="3" fillId="0" borderId="9"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xf numFmtId="49" fontId="3" fillId="0" borderId="10" xfId="0" applyNumberFormat="1" applyFont="1" applyBorder="1" applyAlignment="1">
      <alignment horizontal="center" vertical="center" wrapText="1"/>
    </xf>
    <xf numFmtId="49" fontId="5" fillId="0" borderId="2"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 fontId="3" fillId="0" borderId="2" xfId="0" applyNumberFormat="1" applyFont="1" applyBorder="1" applyAlignment="1">
      <alignment horizontal="center" vertical="center" wrapText="1"/>
    </xf>
    <xf numFmtId="4" fontId="3" fillId="0" borderId="3" xfId="0" applyNumberFormat="1" applyFont="1" applyBorder="1" applyAlignment="1">
      <alignment horizontal="center" vertical="center" wrapText="1"/>
    </xf>
    <xf numFmtId="4" fontId="3" fillId="0" borderId="4" xfId="0" applyNumberFormat="1" applyFont="1" applyBorder="1" applyAlignment="1">
      <alignment horizontal="center" vertical="center" wrapText="1"/>
    </xf>
    <xf numFmtId="4" fontId="3" fillId="0" borderId="5" xfId="0" applyNumberFormat="1" applyFont="1" applyBorder="1" applyAlignment="1">
      <alignment horizontal="center" vertical="center" wrapText="1"/>
    </xf>
    <xf numFmtId="4" fontId="3" fillId="0" borderId="6" xfId="0" applyNumberFormat="1" applyFont="1" applyBorder="1" applyAlignment="1">
      <alignment horizontal="center" vertical="center" wrapText="1"/>
    </xf>
    <xf numFmtId="4" fontId="3" fillId="0" borderId="7" xfId="0" applyNumberFormat="1" applyFont="1" applyBorder="1" applyAlignment="1">
      <alignment horizontal="center" vertical="center" wrapText="1"/>
    </xf>
    <xf numFmtId="4" fontId="3" fillId="0" borderId="8" xfId="0" applyNumberFormat="1" applyFont="1" applyBorder="1" applyAlignment="1">
      <alignment horizontal="center" vertical="center" wrapText="1"/>
    </xf>
    <xf numFmtId="166" fontId="3" fillId="0" borderId="2" xfId="1" applyNumberFormat="1" applyFont="1" applyFill="1" applyBorder="1" applyAlignment="1">
      <alignment horizontal="center" vertical="center" wrapText="1"/>
    </xf>
    <xf numFmtId="166" fontId="3" fillId="0" borderId="3" xfId="1" applyNumberFormat="1" applyFont="1" applyFill="1" applyBorder="1" applyAlignment="1">
      <alignment horizontal="center" vertical="center" wrapText="1"/>
    </xf>
    <xf numFmtId="166" fontId="3" fillId="0" borderId="4" xfId="1" applyNumberFormat="1" applyFont="1" applyFill="1" applyBorder="1" applyAlignment="1">
      <alignment horizontal="center" vertical="center" wrapText="1"/>
    </xf>
    <xf numFmtId="49" fontId="3" fillId="0" borderId="2"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3" fontId="3" fillId="0" borderId="2" xfId="0" applyNumberFormat="1" applyFont="1" applyBorder="1" applyAlignment="1">
      <alignment horizontal="center" vertical="center" wrapText="1"/>
    </xf>
    <xf numFmtId="3" fontId="3" fillId="0" borderId="3" xfId="0" applyNumberFormat="1" applyFont="1" applyBorder="1" applyAlignment="1">
      <alignment horizontal="center" vertical="center" wrapText="1"/>
    </xf>
    <xf numFmtId="3" fontId="3" fillId="0" borderId="4" xfId="0" applyNumberFormat="1" applyFont="1" applyBorder="1" applyAlignment="1">
      <alignment horizontal="center" vertical="center" wrapText="1"/>
    </xf>
    <xf numFmtId="0" fontId="11" fillId="0" borderId="0" xfId="0" applyFont="1" applyAlignment="1">
      <alignment vertical="center"/>
    </xf>
    <xf numFmtId="14" fontId="11" fillId="0" borderId="1" xfId="0" applyNumberFormat="1" applyFont="1" applyBorder="1" applyAlignment="1">
      <alignment vertical="center" wrapText="1"/>
    </xf>
    <xf numFmtId="49" fontId="11" fillId="0" borderId="1" xfId="0" applyNumberFormat="1" applyFont="1" applyBorder="1" applyAlignment="1">
      <alignment vertical="center" wrapText="1"/>
    </xf>
    <xf numFmtId="0" fontId="11" fillId="0" borderId="1" xfId="0" applyFont="1" applyBorder="1" applyAlignment="1">
      <alignment vertical="center" wrapText="1"/>
    </xf>
    <xf numFmtId="43" fontId="11" fillId="0" borderId="1" xfId="1" applyFont="1" applyFill="1" applyBorder="1" applyAlignment="1">
      <alignment vertical="center" wrapText="1"/>
    </xf>
    <xf numFmtId="3" fontId="11" fillId="0" borderId="1" xfId="0" applyNumberFormat="1" applyFont="1" applyBorder="1" applyAlignment="1">
      <alignment vertical="center" wrapText="1"/>
    </xf>
    <xf numFmtId="164" fontId="11" fillId="0" borderId="1" xfId="0" applyNumberFormat="1" applyFont="1" applyBorder="1" applyAlignment="1">
      <alignment vertical="center" wrapText="1"/>
    </xf>
    <xf numFmtId="4" fontId="11" fillId="0" borderId="1" xfId="0" applyNumberFormat="1" applyFont="1" applyBorder="1" applyAlignment="1">
      <alignment vertical="center" wrapText="1"/>
    </xf>
    <xf numFmtId="14" fontId="14" fillId="2" borderId="1" xfId="0" applyNumberFormat="1" applyFont="1" applyFill="1" applyBorder="1" applyAlignment="1">
      <alignment horizontal="center"/>
    </xf>
    <xf numFmtId="0" fontId="11" fillId="0" borderId="9" xfId="0" applyFont="1" applyBorder="1" applyAlignment="1">
      <alignment vertical="center" wrapText="1"/>
    </xf>
  </cellXfs>
  <cellStyles count="4">
    <cellStyle name="Millares" xfId="1" builtinId="3"/>
    <cellStyle name="Millares 2" xfId="3" xr:uid="{ACB5D503-A8D1-4EDC-8CC3-41BB01061A57}"/>
    <cellStyle name="Millares 3" xfId="2" xr:uid="{2D043804-B0EC-4855-AEAD-25348583EDD0}"/>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U72"/>
  <sheetViews>
    <sheetView showGridLines="0" tabSelected="1" zoomScale="94" zoomScaleNormal="94" workbookViewId="0">
      <pane ySplit="13" topLeftCell="A14" activePane="bottomLeft" state="frozen"/>
      <selection pane="bottomLeft" activeCell="R28" sqref="R28"/>
    </sheetView>
  </sheetViews>
  <sheetFormatPr baseColWidth="10" defaultColWidth="11.42578125" defaultRowHeight="13.5" x14ac:dyDescent="0.25"/>
  <cols>
    <col min="1" max="2" width="13.7109375" style="1" customWidth="1"/>
    <col min="3" max="3" width="5" style="2" customWidth="1"/>
    <col min="4" max="4" width="6.7109375" style="2" customWidth="1"/>
    <col min="5" max="5" width="10.140625" style="2" customWidth="1"/>
    <col min="6" max="6" width="3.28515625" style="2" customWidth="1"/>
    <col min="7" max="7" width="13.85546875" style="2" customWidth="1"/>
    <col min="8" max="8" width="54" style="16" customWidth="1"/>
    <col min="9" max="9" width="15.7109375" style="3" hidden="1" customWidth="1"/>
    <col min="10" max="10" width="14.140625" style="3" customWidth="1"/>
    <col min="11" max="11" width="11.140625" style="3" customWidth="1"/>
    <col min="12" max="12" width="7.42578125" style="3" hidden="1" customWidth="1"/>
    <col min="13" max="13" width="15.7109375" style="3" hidden="1" customWidth="1"/>
    <col min="14" max="14" width="15.7109375" style="3" customWidth="1"/>
    <col min="15" max="15" width="15.7109375" style="3" hidden="1" customWidth="1"/>
    <col min="16" max="16" width="14.140625" style="3" customWidth="1"/>
    <col min="17" max="17" width="7.28515625" style="34" customWidth="1"/>
    <col min="18" max="18" width="10.28515625" style="1" customWidth="1"/>
    <col min="19" max="19" width="5.28515625" style="2" customWidth="1"/>
    <col min="20" max="20" width="9.7109375" style="2" customWidth="1"/>
    <col min="21" max="21" width="7.5703125" style="2" customWidth="1"/>
    <col min="22" max="22" width="4.85546875" style="2" customWidth="1"/>
    <col min="23" max="23" width="14.7109375" style="3" customWidth="1"/>
    <col min="24" max="24" width="13.7109375" style="1" customWidth="1"/>
    <col min="25" max="25" width="8" style="2" customWidth="1"/>
    <col min="26" max="27" width="13.7109375" style="2" hidden="1" customWidth="1"/>
    <col min="28" max="28" width="9.42578125" style="2" customWidth="1"/>
    <col min="29" max="29" width="13.7109375" style="2" hidden="1" customWidth="1"/>
    <col min="30" max="30" width="5.5703125" style="2" customWidth="1"/>
    <col min="31" max="31" width="13.7109375" style="5" hidden="1" customWidth="1"/>
    <col min="32" max="33" width="15.7109375" style="3" hidden="1" customWidth="1"/>
    <col min="34" max="34" width="10.7109375" style="2" hidden="1" customWidth="1"/>
    <col min="35" max="35" width="15.7109375" style="2" hidden="1" customWidth="1"/>
    <col min="36" max="36" width="10.7109375" style="1" hidden="1" customWidth="1"/>
    <col min="37" max="37" width="11.7109375" style="2" hidden="1" customWidth="1"/>
    <col min="38" max="38" width="8.140625" style="3" customWidth="1"/>
    <col min="39" max="39" width="23.5703125" style="2" customWidth="1"/>
    <col min="40" max="40" width="15.28515625" style="2" customWidth="1"/>
    <col min="41" max="41" width="9.7109375" style="2" customWidth="1"/>
    <col min="42" max="42" width="15.7109375" style="3" customWidth="1"/>
    <col min="43" max="16384" width="11.42578125" style="6"/>
  </cols>
  <sheetData>
    <row r="1" spans="1:42" hidden="1" x14ac:dyDescent="0.25">
      <c r="A1" s="1" t="s">
        <v>0</v>
      </c>
    </row>
    <row r="2" spans="1:42" hidden="1" x14ac:dyDescent="0.25">
      <c r="A2" s="1" t="s">
        <v>1</v>
      </c>
    </row>
    <row r="3" spans="1:42" hidden="1" x14ac:dyDescent="0.25">
      <c r="A3" s="1" t="s">
        <v>2</v>
      </c>
    </row>
    <row r="4" spans="1:42" hidden="1" x14ac:dyDescent="0.25">
      <c r="A4" s="1" t="s">
        <v>3</v>
      </c>
    </row>
    <row r="5" spans="1:42" hidden="1" x14ac:dyDescent="0.25">
      <c r="A5" s="1" t="s">
        <v>4</v>
      </c>
    </row>
    <row r="6" spans="1:42" hidden="1" x14ac:dyDescent="0.25"/>
    <row r="7" spans="1:42" hidden="1" x14ac:dyDescent="0.25"/>
    <row r="8" spans="1:42" ht="14.25" customHeight="1" x14ac:dyDescent="0.25">
      <c r="A8" s="112" t="s">
        <v>5</v>
      </c>
      <c r="B8" s="112"/>
      <c r="C8" s="112"/>
      <c r="D8" s="112"/>
      <c r="E8" s="112"/>
      <c r="F8" s="112"/>
      <c r="G8" s="112"/>
      <c r="H8" s="112"/>
      <c r="I8" s="112"/>
      <c r="J8" s="112"/>
      <c r="K8" s="112"/>
      <c r="L8" s="112"/>
      <c r="M8" s="112"/>
      <c r="N8" s="112"/>
      <c r="O8" s="112"/>
      <c r="P8" s="112"/>
      <c r="Q8" s="112"/>
      <c r="R8" s="112"/>
      <c r="S8" s="112"/>
      <c r="T8" s="112"/>
      <c r="U8" s="112"/>
      <c r="V8" s="112"/>
      <c r="W8" s="112"/>
      <c r="X8" s="112"/>
      <c r="Y8" s="112"/>
      <c r="Z8" s="112"/>
      <c r="AA8" s="112"/>
      <c r="AB8" s="112"/>
      <c r="AC8" s="112"/>
      <c r="AD8" s="112"/>
      <c r="AE8" s="112"/>
      <c r="AF8" s="112"/>
      <c r="AG8" s="112"/>
      <c r="AH8" s="112"/>
      <c r="AI8" s="112"/>
      <c r="AJ8" s="112"/>
    </row>
    <row r="9" spans="1:42" hidden="1" x14ac:dyDescent="0.25"/>
    <row r="10" spans="1:42" s="12" customFormat="1" ht="21.95" customHeight="1" x14ac:dyDescent="0.15">
      <c r="A10" s="113" t="s">
        <v>6</v>
      </c>
      <c r="B10" s="113" t="s">
        <v>8</v>
      </c>
      <c r="C10" s="116" t="s">
        <v>9</v>
      </c>
      <c r="D10" s="117"/>
      <c r="E10" s="118"/>
      <c r="F10" s="122" t="s">
        <v>16</v>
      </c>
      <c r="G10" s="123"/>
      <c r="H10" s="124"/>
      <c r="I10" s="127" t="s">
        <v>22</v>
      </c>
      <c r="J10" s="127" t="s">
        <v>24</v>
      </c>
      <c r="K10" s="130" t="s">
        <v>25</v>
      </c>
      <c r="L10" s="131"/>
      <c r="M10" s="127" t="s">
        <v>28</v>
      </c>
      <c r="N10" s="127" t="s">
        <v>29</v>
      </c>
      <c r="O10" s="127" t="s">
        <v>30</v>
      </c>
      <c r="P10" s="127" t="s">
        <v>31</v>
      </c>
      <c r="Q10" s="134" t="s">
        <v>32</v>
      </c>
      <c r="R10" s="106" t="s">
        <v>34</v>
      </c>
      <c r="S10" s="107"/>
      <c r="T10" s="107"/>
      <c r="U10" s="108"/>
      <c r="V10" s="137" t="s">
        <v>38</v>
      </c>
      <c r="W10" s="127" t="s">
        <v>39</v>
      </c>
      <c r="X10" s="113" t="s">
        <v>40</v>
      </c>
      <c r="Y10" s="137" t="s">
        <v>41</v>
      </c>
      <c r="Z10" s="137" t="s">
        <v>43</v>
      </c>
      <c r="AA10" s="137" t="s">
        <v>45</v>
      </c>
      <c r="AB10" s="137" t="s">
        <v>46</v>
      </c>
      <c r="AC10" s="137" t="s">
        <v>48</v>
      </c>
      <c r="AD10" s="137" t="s">
        <v>49</v>
      </c>
      <c r="AE10" s="140" t="s">
        <v>50</v>
      </c>
      <c r="AF10" s="127" t="s">
        <v>52</v>
      </c>
      <c r="AG10" s="127" t="s">
        <v>54</v>
      </c>
      <c r="AH10" s="137" t="s">
        <v>55</v>
      </c>
      <c r="AI10" s="137" t="s">
        <v>56</v>
      </c>
      <c r="AJ10" s="113" t="s">
        <v>57</v>
      </c>
      <c r="AK10" s="137" t="s">
        <v>58</v>
      </c>
      <c r="AL10" s="127" t="s">
        <v>59</v>
      </c>
      <c r="AM10" s="137" t="s">
        <v>60</v>
      </c>
      <c r="AN10" s="137" t="s">
        <v>61</v>
      </c>
      <c r="AO10" s="137" t="s">
        <v>62</v>
      </c>
      <c r="AP10" s="127" t="s">
        <v>63</v>
      </c>
    </row>
    <row r="11" spans="1:42" s="12" customFormat="1" ht="21.95" customHeight="1" x14ac:dyDescent="0.15">
      <c r="A11" s="114"/>
      <c r="B11" s="114"/>
      <c r="C11" s="119"/>
      <c r="D11" s="120"/>
      <c r="E11" s="121"/>
      <c r="F11" s="122" t="s">
        <v>17</v>
      </c>
      <c r="G11" s="124"/>
      <c r="H11" s="125" t="s">
        <v>20</v>
      </c>
      <c r="I11" s="128"/>
      <c r="J11" s="128"/>
      <c r="K11" s="132"/>
      <c r="L11" s="133"/>
      <c r="M11" s="128"/>
      <c r="N11" s="128"/>
      <c r="O11" s="128"/>
      <c r="P11" s="128"/>
      <c r="Q11" s="135"/>
      <c r="R11" s="109"/>
      <c r="S11" s="110"/>
      <c r="T11" s="110"/>
      <c r="U11" s="111"/>
      <c r="V11" s="138"/>
      <c r="W11" s="128"/>
      <c r="X11" s="114"/>
      <c r="Y11" s="138"/>
      <c r="Z11" s="138"/>
      <c r="AA11" s="138"/>
      <c r="AB11" s="138"/>
      <c r="AC11" s="138"/>
      <c r="AD11" s="138"/>
      <c r="AE11" s="141"/>
      <c r="AF11" s="128"/>
      <c r="AG11" s="128"/>
      <c r="AH11" s="138"/>
      <c r="AI11" s="138"/>
      <c r="AJ11" s="114"/>
      <c r="AK11" s="138"/>
      <c r="AL11" s="128"/>
      <c r="AM11" s="138"/>
      <c r="AN11" s="138"/>
      <c r="AO11" s="138"/>
      <c r="AP11" s="128"/>
    </row>
    <row r="12" spans="1:42" s="12" customFormat="1" ht="45" customHeight="1" x14ac:dyDescent="0.15">
      <c r="A12" s="115"/>
      <c r="B12" s="115"/>
      <c r="C12" s="13" t="s">
        <v>10</v>
      </c>
      <c r="D12" s="13" t="s">
        <v>12</v>
      </c>
      <c r="E12" s="13" t="s">
        <v>14</v>
      </c>
      <c r="F12" s="13" t="s">
        <v>10</v>
      </c>
      <c r="G12" s="13" t="s">
        <v>14</v>
      </c>
      <c r="H12" s="126"/>
      <c r="I12" s="129"/>
      <c r="J12" s="129"/>
      <c r="K12" s="14" t="s">
        <v>26</v>
      </c>
      <c r="L12" s="14" t="s">
        <v>27</v>
      </c>
      <c r="M12" s="129"/>
      <c r="N12" s="129"/>
      <c r="O12" s="129"/>
      <c r="P12" s="129"/>
      <c r="Q12" s="136"/>
      <c r="R12" s="15" t="s">
        <v>35</v>
      </c>
      <c r="S12" s="13" t="s">
        <v>10</v>
      </c>
      <c r="T12" s="13" t="s">
        <v>36</v>
      </c>
      <c r="U12" s="13" t="s">
        <v>37</v>
      </c>
      <c r="V12" s="139"/>
      <c r="W12" s="129"/>
      <c r="X12" s="115"/>
      <c r="Y12" s="139"/>
      <c r="Z12" s="139"/>
      <c r="AA12" s="139"/>
      <c r="AB12" s="139"/>
      <c r="AC12" s="139"/>
      <c r="AD12" s="139"/>
      <c r="AE12" s="142"/>
      <c r="AF12" s="129"/>
      <c r="AG12" s="129"/>
      <c r="AH12" s="139"/>
      <c r="AI12" s="139"/>
      <c r="AJ12" s="115"/>
      <c r="AK12" s="139"/>
      <c r="AL12" s="129"/>
      <c r="AM12" s="139"/>
      <c r="AN12" s="139"/>
      <c r="AO12" s="139"/>
      <c r="AP12" s="129"/>
    </row>
    <row r="13" spans="1:42" s="12" customFormat="1" ht="24.6" customHeight="1" x14ac:dyDescent="0.15">
      <c r="A13" s="19" t="s">
        <v>7</v>
      </c>
      <c r="B13" s="19" t="s">
        <v>7</v>
      </c>
      <c r="C13" s="20" t="s">
        <v>11</v>
      </c>
      <c r="D13" s="20" t="s">
        <v>13</v>
      </c>
      <c r="E13" s="20" t="s">
        <v>15</v>
      </c>
      <c r="F13" s="20" t="s">
        <v>18</v>
      </c>
      <c r="G13" s="20" t="s">
        <v>19</v>
      </c>
      <c r="H13" s="21" t="s">
        <v>21</v>
      </c>
      <c r="I13" s="22" t="s">
        <v>23</v>
      </c>
      <c r="J13" s="22" t="s">
        <v>23</v>
      </c>
      <c r="K13" s="22" t="s">
        <v>23</v>
      </c>
      <c r="L13" s="22" t="s">
        <v>23</v>
      </c>
      <c r="M13" s="22" t="s">
        <v>23</v>
      </c>
      <c r="N13" s="22" t="s">
        <v>23</v>
      </c>
      <c r="O13" s="22" t="s">
        <v>23</v>
      </c>
      <c r="P13" s="22"/>
      <c r="Q13" s="35" t="s">
        <v>33</v>
      </c>
      <c r="R13" s="19" t="s">
        <v>7</v>
      </c>
      <c r="S13" s="20" t="s">
        <v>11</v>
      </c>
      <c r="T13" s="20" t="s">
        <v>13</v>
      </c>
      <c r="U13" s="20" t="s">
        <v>15</v>
      </c>
      <c r="V13" s="20" t="s">
        <v>18</v>
      </c>
      <c r="W13" s="22" t="s">
        <v>23</v>
      </c>
      <c r="X13" s="19" t="s">
        <v>7</v>
      </c>
      <c r="Y13" s="20" t="s">
        <v>42</v>
      </c>
      <c r="Z13" s="20" t="s">
        <v>44</v>
      </c>
      <c r="AA13" s="20" t="s">
        <v>44</v>
      </c>
      <c r="AB13" s="20" t="s">
        <v>47</v>
      </c>
      <c r="AC13" s="20" t="s">
        <v>47</v>
      </c>
      <c r="AD13" s="20" t="s">
        <v>47</v>
      </c>
      <c r="AE13" s="23" t="s">
        <v>51</v>
      </c>
      <c r="AF13" s="22" t="s">
        <v>53</v>
      </c>
      <c r="AG13" s="22" t="s">
        <v>23</v>
      </c>
      <c r="AH13" s="20" t="s">
        <v>13</v>
      </c>
      <c r="AI13" s="20" t="s">
        <v>15</v>
      </c>
      <c r="AJ13" s="19" t="s">
        <v>7</v>
      </c>
      <c r="AK13" s="20" t="s">
        <v>47</v>
      </c>
      <c r="AL13" s="22" t="s">
        <v>53</v>
      </c>
      <c r="AM13" s="20" t="s">
        <v>21</v>
      </c>
      <c r="AN13" s="20" t="s">
        <v>42</v>
      </c>
      <c r="AO13" s="20" t="s">
        <v>18</v>
      </c>
      <c r="AP13" s="22" t="s">
        <v>23</v>
      </c>
    </row>
    <row r="14" spans="1:42" s="41" customFormat="1" ht="18.75" customHeight="1" x14ac:dyDescent="0.25">
      <c r="A14" s="47"/>
      <c r="B14" s="43">
        <f t="shared" ref="B14" si="0">+A14</f>
        <v>0</v>
      </c>
      <c r="C14" s="44" t="s">
        <v>84</v>
      </c>
      <c r="D14" s="48"/>
      <c r="E14" s="48"/>
      <c r="F14" s="48">
        <v>6</v>
      </c>
      <c r="G14" s="48"/>
      <c r="H14" s="58"/>
      <c r="I14" s="45"/>
      <c r="J14" s="46">
        <f t="shared" ref="J14" si="1">+P14/1.18</f>
        <v>0</v>
      </c>
      <c r="K14" s="46"/>
      <c r="L14" s="46"/>
      <c r="M14" s="46"/>
      <c r="N14" s="46">
        <f t="shared" ref="N14" si="2">+J14*0.18</f>
        <v>0</v>
      </c>
      <c r="O14" s="46"/>
      <c r="P14" s="49"/>
      <c r="Q14" s="50"/>
      <c r="R14" s="43"/>
      <c r="S14" s="45"/>
      <c r="T14" s="44"/>
      <c r="U14" s="44"/>
      <c r="V14" s="51" t="s">
        <v>87</v>
      </c>
      <c r="W14" s="46"/>
      <c r="X14" s="44"/>
      <c r="Y14" s="44" t="s">
        <v>88</v>
      </c>
      <c r="Z14" s="44"/>
      <c r="AA14" s="44"/>
      <c r="AB14" s="44" t="s">
        <v>89</v>
      </c>
      <c r="AC14" s="52"/>
      <c r="AD14" s="52">
        <v>1212</v>
      </c>
      <c r="AE14" s="54"/>
      <c r="AF14" s="55"/>
      <c r="AG14" s="55"/>
      <c r="AH14" s="56"/>
      <c r="AI14" s="56"/>
      <c r="AJ14" s="57"/>
      <c r="AK14" s="56"/>
      <c r="AL14" s="46">
        <v>18</v>
      </c>
      <c r="AM14" s="53"/>
      <c r="AN14" s="39"/>
      <c r="AO14" s="39"/>
      <c r="AP14" s="40"/>
    </row>
    <row r="15" spans="1:42" s="41" customFormat="1" ht="18.75" customHeight="1" x14ac:dyDescent="0.25">
      <c r="A15" s="47"/>
      <c r="B15" s="43">
        <f t="shared" ref="B15:B31" si="3">+A15</f>
        <v>0</v>
      </c>
      <c r="C15" s="44" t="s">
        <v>84</v>
      </c>
      <c r="D15" s="48"/>
      <c r="E15" s="48"/>
      <c r="F15" s="48">
        <v>6</v>
      </c>
      <c r="G15" s="48"/>
      <c r="H15" s="58"/>
      <c r="I15" s="45"/>
      <c r="J15" s="46">
        <f t="shared" ref="J15:J31" si="4">+P15/1.18</f>
        <v>0</v>
      </c>
      <c r="K15" s="46"/>
      <c r="L15" s="46"/>
      <c r="M15" s="46"/>
      <c r="N15" s="46">
        <f t="shared" ref="N15:N31" si="5">+J15*0.18</f>
        <v>0</v>
      </c>
      <c r="O15" s="46"/>
      <c r="P15" s="49"/>
      <c r="Q15" s="50"/>
      <c r="R15" s="43"/>
      <c r="S15" s="45"/>
      <c r="T15" s="44"/>
      <c r="U15" s="44"/>
      <c r="V15" s="51" t="s">
        <v>87</v>
      </c>
      <c r="W15" s="46"/>
      <c r="X15" s="44"/>
      <c r="Y15" s="44" t="s">
        <v>88</v>
      </c>
      <c r="Z15" s="44"/>
      <c r="AA15" s="44"/>
      <c r="AB15" s="44" t="s">
        <v>89</v>
      </c>
      <c r="AC15" s="52"/>
      <c r="AD15" s="52">
        <v>1212</v>
      </c>
      <c r="AE15" s="54"/>
      <c r="AF15" s="55"/>
      <c r="AG15" s="55"/>
      <c r="AH15" s="56"/>
      <c r="AI15" s="56"/>
      <c r="AJ15" s="57"/>
      <c r="AK15" s="56"/>
      <c r="AL15" s="46">
        <v>18</v>
      </c>
      <c r="AM15" s="53"/>
      <c r="AN15" s="39"/>
      <c r="AO15" s="39"/>
      <c r="AP15" s="40"/>
    </row>
    <row r="16" spans="1:42" s="41" customFormat="1" ht="18.75" customHeight="1" x14ac:dyDescent="0.25">
      <c r="A16" s="47"/>
      <c r="B16" s="43">
        <f t="shared" si="3"/>
        <v>0</v>
      </c>
      <c r="C16" s="44" t="s">
        <v>84</v>
      </c>
      <c r="D16" s="48"/>
      <c r="E16" s="48"/>
      <c r="F16" s="48">
        <v>6</v>
      </c>
      <c r="G16" s="48"/>
      <c r="H16" s="58"/>
      <c r="I16" s="45"/>
      <c r="J16" s="46">
        <f t="shared" si="4"/>
        <v>0</v>
      </c>
      <c r="K16" s="46"/>
      <c r="L16" s="46"/>
      <c r="M16" s="46"/>
      <c r="N16" s="46">
        <f t="shared" si="5"/>
        <v>0</v>
      </c>
      <c r="O16" s="46"/>
      <c r="P16" s="49"/>
      <c r="Q16" s="50"/>
      <c r="R16" s="43"/>
      <c r="S16" s="45"/>
      <c r="T16" s="44"/>
      <c r="U16" s="44"/>
      <c r="V16" s="51" t="s">
        <v>87</v>
      </c>
      <c r="W16" s="46"/>
      <c r="X16" s="44"/>
      <c r="Y16" s="44" t="s">
        <v>88</v>
      </c>
      <c r="Z16" s="44"/>
      <c r="AA16" s="44"/>
      <c r="AB16" s="44" t="s">
        <v>89</v>
      </c>
      <c r="AC16" s="52"/>
      <c r="AD16" s="52">
        <v>1212</v>
      </c>
      <c r="AE16" s="54"/>
      <c r="AF16" s="55"/>
      <c r="AG16" s="55"/>
      <c r="AH16" s="56"/>
      <c r="AI16" s="56"/>
      <c r="AJ16" s="57"/>
      <c r="AK16" s="56"/>
      <c r="AL16" s="46">
        <v>18</v>
      </c>
      <c r="AM16" s="53"/>
      <c r="AN16" s="39"/>
      <c r="AO16" s="39"/>
      <c r="AP16" s="40"/>
    </row>
    <row r="17" spans="1:47" s="41" customFormat="1" ht="18.75" customHeight="1" x14ac:dyDescent="0.25">
      <c r="A17" s="47"/>
      <c r="B17" s="43">
        <f t="shared" si="3"/>
        <v>0</v>
      </c>
      <c r="C17" s="44" t="s">
        <v>84</v>
      </c>
      <c r="D17" s="48"/>
      <c r="E17" s="48"/>
      <c r="F17" s="48">
        <v>6</v>
      </c>
      <c r="G17" s="48"/>
      <c r="H17" s="58"/>
      <c r="I17" s="45"/>
      <c r="J17" s="46">
        <f t="shared" si="4"/>
        <v>0</v>
      </c>
      <c r="K17" s="46"/>
      <c r="L17" s="46"/>
      <c r="M17" s="46"/>
      <c r="N17" s="46">
        <f t="shared" si="5"/>
        <v>0</v>
      </c>
      <c r="O17" s="46"/>
      <c r="P17" s="49"/>
      <c r="Q17" s="50"/>
      <c r="R17" s="43"/>
      <c r="S17" s="45"/>
      <c r="T17" s="44"/>
      <c r="U17" s="44"/>
      <c r="V17" s="51" t="s">
        <v>87</v>
      </c>
      <c r="W17" s="46"/>
      <c r="X17" s="44"/>
      <c r="Y17" s="44" t="s">
        <v>88</v>
      </c>
      <c r="Z17" s="44"/>
      <c r="AA17" s="44"/>
      <c r="AB17" s="44" t="s">
        <v>89</v>
      </c>
      <c r="AC17" s="52"/>
      <c r="AD17" s="52">
        <v>1212</v>
      </c>
      <c r="AE17" s="54"/>
      <c r="AF17" s="55"/>
      <c r="AG17" s="55"/>
      <c r="AH17" s="56"/>
      <c r="AI17" s="56"/>
      <c r="AJ17" s="57"/>
      <c r="AK17" s="56"/>
      <c r="AL17" s="46">
        <v>18</v>
      </c>
      <c r="AM17" s="53"/>
      <c r="AN17" s="39"/>
      <c r="AO17" s="39"/>
      <c r="AP17" s="40"/>
    </row>
    <row r="18" spans="1:47" s="41" customFormat="1" ht="18.75" customHeight="1" x14ac:dyDescent="0.25">
      <c r="A18" s="47"/>
      <c r="B18" s="43">
        <f t="shared" si="3"/>
        <v>0</v>
      </c>
      <c r="C18" s="44" t="s">
        <v>84</v>
      </c>
      <c r="D18" s="48"/>
      <c r="E18" s="48"/>
      <c r="F18" s="48">
        <v>6</v>
      </c>
      <c r="G18" s="48"/>
      <c r="H18" s="58"/>
      <c r="I18" s="45"/>
      <c r="J18" s="46">
        <f t="shared" si="4"/>
        <v>0</v>
      </c>
      <c r="K18" s="46"/>
      <c r="L18" s="46"/>
      <c r="M18" s="46"/>
      <c r="N18" s="46">
        <f t="shared" si="5"/>
        <v>0</v>
      </c>
      <c r="O18" s="46"/>
      <c r="P18" s="49"/>
      <c r="Q18" s="50"/>
      <c r="R18" s="43"/>
      <c r="S18" s="45"/>
      <c r="T18" s="44"/>
      <c r="U18" s="44"/>
      <c r="V18" s="51" t="s">
        <v>87</v>
      </c>
      <c r="W18" s="46"/>
      <c r="X18" s="44"/>
      <c r="Y18" s="44" t="s">
        <v>88</v>
      </c>
      <c r="Z18" s="44"/>
      <c r="AA18" s="44"/>
      <c r="AB18" s="44" t="s">
        <v>89</v>
      </c>
      <c r="AC18" s="52"/>
      <c r="AD18" s="52">
        <v>1212</v>
      </c>
      <c r="AE18" s="54"/>
      <c r="AF18" s="55"/>
      <c r="AG18" s="55"/>
      <c r="AH18" s="56"/>
      <c r="AI18" s="56"/>
      <c r="AJ18" s="57"/>
      <c r="AK18" s="56"/>
      <c r="AL18" s="46">
        <v>18</v>
      </c>
      <c r="AM18" s="53"/>
      <c r="AN18" s="39"/>
      <c r="AO18" s="39"/>
      <c r="AP18" s="40"/>
    </row>
    <row r="19" spans="1:47" s="41" customFormat="1" ht="18.75" customHeight="1" x14ac:dyDescent="0.25">
      <c r="A19" s="47"/>
      <c r="B19" s="43">
        <f t="shared" si="3"/>
        <v>0</v>
      </c>
      <c r="C19" s="44" t="s">
        <v>84</v>
      </c>
      <c r="D19" s="48"/>
      <c r="E19" s="48"/>
      <c r="F19" s="48">
        <v>6</v>
      </c>
      <c r="G19" s="48"/>
      <c r="H19" s="58"/>
      <c r="I19" s="45"/>
      <c r="J19" s="46">
        <f t="shared" si="4"/>
        <v>0</v>
      </c>
      <c r="K19" s="46"/>
      <c r="L19" s="46"/>
      <c r="M19" s="46"/>
      <c r="N19" s="46">
        <f t="shared" si="5"/>
        <v>0</v>
      </c>
      <c r="O19" s="46"/>
      <c r="P19" s="49"/>
      <c r="Q19" s="50"/>
      <c r="R19" s="43"/>
      <c r="S19" s="45"/>
      <c r="T19" s="44"/>
      <c r="U19" s="44"/>
      <c r="V19" s="51" t="s">
        <v>87</v>
      </c>
      <c r="W19" s="46"/>
      <c r="X19" s="44"/>
      <c r="Y19" s="44" t="s">
        <v>88</v>
      </c>
      <c r="Z19" s="44"/>
      <c r="AA19" s="44"/>
      <c r="AB19" s="44" t="s">
        <v>89</v>
      </c>
      <c r="AC19" s="52"/>
      <c r="AD19" s="52">
        <v>1212</v>
      </c>
      <c r="AE19" s="54"/>
      <c r="AF19" s="55"/>
      <c r="AG19" s="55"/>
      <c r="AH19" s="56"/>
      <c r="AI19" s="56"/>
      <c r="AJ19" s="57"/>
      <c r="AK19" s="56"/>
      <c r="AL19" s="46">
        <v>18</v>
      </c>
      <c r="AM19" s="53"/>
      <c r="AN19" s="39"/>
      <c r="AO19" s="39"/>
      <c r="AP19" s="40"/>
    </row>
    <row r="20" spans="1:47" s="41" customFormat="1" ht="18.75" customHeight="1" x14ac:dyDescent="0.25">
      <c r="A20" s="47"/>
      <c r="B20" s="43">
        <f t="shared" si="3"/>
        <v>0</v>
      </c>
      <c r="C20" s="44" t="s">
        <v>84</v>
      </c>
      <c r="D20" s="48"/>
      <c r="E20" s="48"/>
      <c r="F20" s="48">
        <v>6</v>
      </c>
      <c r="G20" s="48"/>
      <c r="H20" s="58"/>
      <c r="I20" s="45"/>
      <c r="J20" s="46">
        <f t="shared" si="4"/>
        <v>0</v>
      </c>
      <c r="K20" s="46"/>
      <c r="L20" s="46"/>
      <c r="M20" s="46"/>
      <c r="N20" s="46">
        <f t="shared" si="5"/>
        <v>0</v>
      </c>
      <c r="O20" s="46"/>
      <c r="P20" s="49"/>
      <c r="Q20" s="50"/>
      <c r="R20" s="43"/>
      <c r="S20" s="45"/>
      <c r="T20" s="44"/>
      <c r="U20" s="44"/>
      <c r="V20" s="51" t="s">
        <v>87</v>
      </c>
      <c r="W20" s="46"/>
      <c r="X20" s="44"/>
      <c r="Y20" s="44" t="s">
        <v>88</v>
      </c>
      <c r="Z20" s="44"/>
      <c r="AA20" s="44"/>
      <c r="AB20" s="44" t="s">
        <v>89</v>
      </c>
      <c r="AC20" s="52"/>
      <c r="AD20" s="52">
        <v>1212</v>
      </c>
      <c r="AE20" s="54"/>
      <c r="AF20" s="55"/>
      <c r="AG20" s="55"/>
      <c r="AH20" s="56"/>
      <c r="AI20" s="56"/>
      <c r="AJ20" s="57"/>
      <c r="AK20" s="56"/>
      <c r="AL20" s="46">
        <v>18</v>
      </c>
      <c r="AM20" s="53"/>
      <c r="AN20" s="39"/>
      <c r="AO20" s="39"/>
      <c r="AP20" s="40"/>
    </row>
    <row r="21" spans="1:47" s="41" customFormat="1" ht="18.75" customHeight="1" x14ac:dyDescent="0.25">
      <c r="A21" s="47"/>
      <c r="B21" s="43">
        <f t="shared" si="3"/>
        <v>0</v>
      </c>
      <c r="C21" s="44" t="s">
        <v>84</v>
      </c>
      <c r="D21" s="48"/>
      <c r="E21" s="48"/>
      <c r="F21" s="48">
        <v>6</v>
      </c>
      <c r="G21" s="48"/>
      <c r="H21" s="58"/>
      <c r="I21" s="45"/>
      <c r="J21" s="46">
        <f t="shared" si="4"/>
        <v>0</v>
      </c>
      <c r="K21" s="46"/>
      <c r="L21" s="46"/>
      <c r="M21" s="46"/>
      <c r="N21" s="46">
        <f t="shared" si="5"/>
        <v>0</v>
      </c>
      <c r="O21" s="46"/>
      <c r="P21" s="49"/>
      <c r="Q21" s="50"/>
      <c r="R21" s="43"/>
      <c r="S21" s="45"/>
      <c r="T21" s="44"/>
      <c r="U21" s="44"/>
      <c r="V21" s="51" t="s">
        <v>87</v>
      </c>
      <c r="W21" s="46"/>
      <c r="X21" s="44"/>
      <c r="Y21" s="44" t="s">
        <v>88</v>
      </c>
      <c r="Z21" s="44"/>
      <c r="AA21" s="44"/>
      <c r="AB21" s="44" t="s">
        <v>89</v>
      </c>
      <c r="AC21" s="52"/>
      <c r="AD21" s="52">
        <v>1212</v>
      </c>
      <c r="AE21" s="54"/>
      <c r="AF21" s="55"/>
      <c r="AG21" s="55"/>
      <c r="AH21" s="56"/>
      <c r="AI21" s="56"/>
      <c r="AJ21" s="57"/>
      <c r="AK21" s="56"/>
      <c r="AL21" s="46">
        <v>18</v>
      </c>
      <c r="AM21" s="53"/>
      <c r="AN21" s="39"/>
      <c r="AO21" s="39"/>
      <c r="AP21" s="40"/>
    </row>
    <row r="22" spans="1:47" s="41" customFormat="1" ht="18.75" customHeight="1" x14ac:dyDescent="0.25">
      <c r="A22" s="47"/>
      <c r="B22" s="43">
        <f t="shared" si="3"/>
        <v>0</v>
      </c>
      <c r="C22" s="44" t="s">
        <v>84</v>
      </c>
      <c r="D22" s="48"/>
      <c r="E22" s="48"/>
      <c r="F22" s="48">
        <v>6</v>
      </c>
      <c r="G22" s="48"/>
      <c r="H22" s="58"/>
      <c r="I22" s="45"/>
      <c r="J22" s="46">
        <f t="shared" si="4"/>
        <v>0</v>
      </c>
      <c r="K22" s="46"/>
      <c r="L22" s="46"/>
      <c r="M22" s="46"/>
      <c r="N22" s="46">
        <f t="shared" si="5"/>
        <v>0</v>
      </c>
      <c r="O22" s="46"/>
      <c r="P22" s="49"/>
      <c r="Q22" s="50"/>
      <c r="R22" s="43"/>
      <c r="S22" s="45"/>
      <c r="T22" s="44"/>
      <c r="U22" s="44"/>
      <c r="V22" s="51" t="s">
        <v>87</v>
      </c>
      <c r="W22" s="46"/>
      <c r="X22" s="44"/>
      <c r="Y22" s="44" t="s">
        <v>88</v>
      </c>
      <c r="Z22" s="44"/>
      <c r="AA22" s="44"/>
      <c r="AB22" s="44" t="s">
        <v>89</v>
      </c>
      <c r="AC22" s="52"/>
      <c r="AD22" s="52">
        <v>1212</v>
      </c>
      <c r="AE22" s="54"/>
      <c r="AF22" s="55"/>
      <c r="AG22" s="55"/>
      <c r="AH22" s="56"/>
      <c r="AI22" s="56"/>
      <c r="AJ22" s="57"/>
      <c r="AK22" s="56"/>
      <c r="AL22" s="46">
        <v>18</v>
      </c>
      <c r="AM22" s="53"/>
      <c r="AN22" s="39"/>
      <c r="AO22" s="39"/>
      <c r="AP22" s="40"/>
    </row>
    <row r="23" spans="1:47" s="41" customFormat="1" ht="18.75" customHeight="1" x14ac:dyDescent="0.25">
      <c r="A23" s="47"/>
      <c r="B23" s="43">
        <f t="shared" si="3"/>
        <v>0</v>
      </c>
      <c r="C23" s="44" t="s">
        <v>84</v>
      </c>
      <c r="D23" s="48"/>
      <c r="E23" s="48"/>
      <c r="F23" s="48">
        <v>6</v>
      </c>
      <c r="G23" s="48"/>
      <c r="H23" s="58"/>
      <c r="I23" s="45"/>
      <c r="J23" s="46">
        <f t="shared" si="4"/>
        <v>0</v>
      </c>
      <c r="K23" s="46"/>
      <c r="L23" s="46"/>
      <c r="M23" s="46"/>
      <c r="N23" s="46">
        <f t="shared" si="5"/>
        <v>0</v>
      </c>
      <c r="O23" s="46"/>
      <c r="P23" s="49"/>
      <c r="Q23" s="50"/>
      <c r="R23" s="43"/>
      <c r="S23" s="45"/>
      <c r="T23" s="44"/>
      <c r="U23" s="44"/>
      <c r="V23" s="51" t="s">
        <v>87</v>
      </c>
      <c r="W23" s="46"/>
      <c r="X23" s="44"/>
      <c r="Y23" s="44" t="s">
        <v>88</v>
      </c>
      <c r="Z23" s="44"/>
      <c r="AA23" s="44"/>
      <c r="AB23" s="44" t="s">
        <v>89</v>
      </c>
      <c r="AC23" s="52"/>
      <c r="AD23" s="52">
        <v>1212</v>
      </c>
      <c r="AE23" s="54"/>
      <c r="AF23" s="55"/>
      <c r="AG23" s="55"/>
      <c r="AH23" s="56"/>
      <c r="AI23" s="56"/>
      <c r="AJ23" s="57"/>
      <c r="AK23" s="56"/>
      <c r="AL23" s="46">
        <v>18</v>
      </c>
      <c r="AM23" s="53"/>
      <c r="AN23" s="39"/>
      <c r="AO23" s="39"/>
      <c r="AP23" s="40"/>
    </row>
    <row r="24" spans="1:47" s="41" customFormat="1" ht="18.75" customHeight="1" x14ac:dyDescent="0.25">
      <c r="A24" s="47"/>
      <c r="B24" s="43">
        <f t="shared" si="3"/>
        <v>0</v>
      </c>
      <c r="C24" s="44" t="s">
        <v>84</v>
      </c>
      <c r="D24" s="48"/>
      <c r="E24" s="48"/>
      <c r="F24" s="48">
        <v>6</v>
      </c>
      <c r="G24" s="48"/>
      <c r="H24" s="58"/>
      <c r="I24" s="45"/>
      <c r="J24" s="46">
        <f t="shared" si="4"/>
        <v>0</v>
      </c>
      <c r="K24" s="46"/>
      <c r="L24" s="46"/>
      <c r="M24" s="46"/>
      <c r="N24" s="46">
        <f t="shared" si="5"/>
        <v>0</v>
      </c>
      <c r="O24" s="46"/>
      <c r="P24" s="49"/>
      <c r="Q24" s="50"/>
      <c r="R24" s="43"/>
      <c r="S24" s="45"/>
      <c r="T24" s="44"/>
      <c r="U24" s="44"/>
      <c r="V24" s="51" t="s">
        <v>87</v>
      </c>
      <c r="W24" s="46"/>
      <c r="X24" s="44"/>
      <c r="Y24" s="44" t="s">
        <v>88</v>
      </c>
      <c r="Z24" s="44"/>
      <c r="AA24" s="44"/>
      <c r="AB24" s="44" t="s">
        <v>89</v>
      </c>
      <c r="AC24" s="52"/>
      <c r="AD24" s="52">
        <v>1212</v>
      </c>
      <c r="AE24" s="54"/>
      <c r="AF24" s="55"/>
      <c r="AG24" s="55"/>
      <c r="AH24" s="56"/>
      <c r="AI24" s="56"/>
      <c r="AJ24" s="57"/>
      <c r="AK24" s="56"/>
      <c r="AL24" s="46">
        <v>18</v>
      </c>
      <c r="AM24" s="53"/>
      <c r="AN24" s="39"/>
      <c r="AO24" s="39"/>
      <c r="AP24" s="40"/>
    </row>
    <row r="25" spans="1:47" s="41" customFormat="1" ht="18.75" customHeight="1" x14ac:dyDescent="0.25">
      <c r="A25" s="47"/>
      <c r="B25" s="43">
        <f t="shared" si="3"/>
        <v>0</v>
      </c>
      <c r="C25" s="44" t="s">
        <v>84</v>
      </c>
      <c r="D25" s="48"/>
      <c r="E25" s="48"/>
      <c r="F25" s="48">
        <v>6</v>
      </c>
      <c r="G25" s="48"/>
      <c r="H25" s="58"/>
      <c r="I25" s="45"/>
      <c r="J25" s="46">
        <f t="shared" si="4"/>
        <v>0</v>
      </c>
      <c r="K25" s="46"/>
      <c r="L25" s="46"/>
      <c r="M25" s="46"/>
      <c r="N25" s="46">
        <f t="shared" si="5"/>
        <v>0</v>
      </c>
      <c r="O25" s="46"/>
      <c r="P25" s="49"/>
      <c r="Q25" s="50"/>
      <c r="R25" s="43"/>
      <c r="S25" s="45"/>
      <c r="T25" s="44"/>
      <c r="U25" s="44"/>
      <c r="V25" s="51" t="s">
        <v>87</v>
      </c>
      <c r="W25" s="46"/>
      <c r="X25" s="44"/>
      <c r="Y25" s="44" t="s">
        <v>88</v>
      </c>
      <c r="Z25" s="44"/>
      <c r="AA25" s="44"/>
      <c r="AB25" s="44" t="s">
        <v>89</v>
      </c>
      <c r="AC25" s="52"/>
      <c r="AD25" s="52">
        <v>1212</v>
      </c>
      <c r="AE25" s="54"/>
      <c r="AF25" s="55"/>
      <c r="AG25" s="55"/>
      <c r="AH25" s="56"/>
      <c r="AI25" s="56"/>
      <c r="AJ25" s="57"/>
      <c r="AK25" s="56"/>
      <c r="AL25" s="46">
        <v>18</v>
      </c>
      <c r="AM25" s="53"/>
      <c r="AN25" s="39"/>
      <c r="AO25" s="39"/>
      <c r="AP25" s="40"/>
    </row>
    <row r="26" spans="1:47" s="41" customFormat="1" ht="18.75" customHeight="1" x14ac:dyDescent="0.25">
      <c r="A26" s="47"/>
      <c r="B26" s="43">
        <f t="shared" si="3"/>
        <v>0</v>
      </c>
      <c r="C26" s="44" t="s">
        <v>84</v>
      </c>
      <c r="D26" s="48"/>
      <c r="E26" s="48"/>
      <c r="F26" s="48">
        <v>6</v>
      </c>
      <c r="G26" s="48"/>
      <c r="H26" s="58"/>
      <c r="I26" s="45"/>
      <c r="J26" s="46">
        <f t="shared" si="4"/>
        <v>0</v>
      </c>
      <c r="K26" s="46"/>
      <c r="L26" s="46"/>
      <c r="M26" s="46"/>
      <c r="N26" s="46">
        <f t="shared" si="5"/>
        <v>0</v>
      </c>
      <c r="O26" s="46"/>
      <c r="P26" s="49"/>
      <c r="Q26" s="50"/>
      <c r="R26" s="43"/>
      <c r="S26" s="45"/>
      <c r="T26" s="44"/>
      <c r="U26" s="44"/>
      <c r="V26" s="51" t="s">
        <v>87</v>
      </c>
      <c r="W26" s="46"/>
      <c r="X26" s="44"/>
      <c r="Y26" s="44" t="s">
        <v>88</v>
      </c>
      <c r="Z26" s="44"/>
      <c r="AA26" s="44"/>
      <c r="AB26" s="44" t="s">
        <v>89</v>
      </c>
      <c r="AC26" s="52"/>
      <c r="AD26" s="52">
        <v>1212</v>
      </c>
      <c r="AE26" s="54"/>
      <c r="AF26" s="55"/>
      <c r="AG26" s="55"/>
      <c r="AH26" s="56"/>
      <c r="AI26" s="56"/>
      <c r="AJ26" s="57"/>
      <c r="AK26" s="56"/>
      <c r="AL26" s="46">
        <v>18</v>
      </c>
      <c r="AM26" s="53"/>
      <c r="AN26" s="39"/>
      <c r="AO26" s="39"/>
      <c r="AP26" s="40"/>
    </row>
    <row r="27" spans="1:47" s="41" customFormat="1" ht="18.75" customHeight="1" x14ac:dyDescent="0.25">
      <c r="A27" s="47"/>
      <c r="B27" s="43">
        <f t="shared" si="3"/>
        <v>0</v>
      </c>
      <c r="C27" s="44" t="s">
        <v>84</v>
      </c>
      <c r="D27" s="48"/>
      <c r="E27" s="48"/>
      <c r="F27" s="48">
        <v>6</v>
      </c>
      <c r="G27" s="48"/>
      <c r="H27" s="58"/>
      <c r="I27" s="45"/>
      <c r="J27" s="46">
        <f t="shared" si="4"/>
        <v>0</v>
      </c>
      <c r="K27" s="46"/>
      <c r="L27" s="46"/>
      <c r="M27" s="46"/>
      <c r="N27" s="46">
        <f t="shared" si="5"/>
        <v>0</v>
      </c>
      <c r="O27" s="46"/>
      <c r="P27" s="49"/>
      <c r="Q27" s="50"/>
      <c r="R27" s="43"/>
      <c r="S27" s="45"/>
      <c r="T27" s="44"/>
      <c r="U27" s="44"/>
      <c r="V27" s="51" t="s">
        <v>87</v>
      </c>
      <c r="W27" s="46"/>
      <c r="X27" s="44"/>
      <c r="Y27" s="44" t="s">
        <v>88</v>
      </c>
      <c r="Z27" s="44"/>
      <c r="AA27" s="44"/>
      <c r="AB27" s="44" t="s">
        <v>89</v>
      </c>
      <c r="AC27" s="52"/>
      <c r="AD27" s="52">
        <v>1212</v>
      </c>
      <c r="AE27" s="54"/>
      <c r="AF27" s="55"/>
      <c r="AG27" s="55"/>
      <c r="AH27" s="56"/>
      <c r="AI27" s="56"/>
      <c r="AJ27" s="57"/>
      <c r="AK27" s="56"/>
      <c r="AL27" s="46">
        <v>18</v>
      </c>
      <c r="AM27" s="53"/>
      <c r="AN27" s="39"/>
      <c r="AO27" s="39"/>
      <c r="AP27" s="40"/>
    </row>
    <row r="28" spans="1:47" s="41" customFormat="1" ht="18.75" customHeight="1" x14ac:dyDescent="0.25">
      <c r="A28" s="47"/>
      <c r="B28" s="43">
        <f t="shared" si="3"/>
        <v>0</v>
      </c>
      <c r="C28" s="44" t="s">
        <v>84</v>
      </c>
      <c r="D28" s="48"/>
      <c r="E28" s="48"/>
      <c r="F28" s="48">
        <v>6</v>
      </c>
      <c r="G28" s="48"/>
      <c r="H28" s="58"/>
      <c r="I28" s="45"/>
      <c r="J28" s="46">
        <f t="shared" si="4"/>
        <v>0</v>
      </c>
      <c r="K28" s="46"/>
      <c r="L28" s="46"/>
      <c r="M28" s="46"/>
      <c r="N28" s="46">
        <f t="shared" si="5"/>
        <v>0</v>
      </c>
      <c r="O28" s="46"/>
      <c r="P28" s="49"/>
      <c r="Q28" s="50"/>
      <c r="R28" s="43"/>
      <c r="S28" s="45"/>
      <c r="T28" s="44"/>
      <c r="U28" s="44"/>
      <c r="V28" s="51" t="s">
        <v>87</v>
      </c>
      <c r="W28" s="46"/>
      <c r="X28" s="44"/>
      <c r="Y28" s="44" t="s">
        <v>88</v>
      </c>
      <c r="Z28" s="44"/>
      <c r="AA28" s="44"/>
      <c r="AB28" s="44" t="s">
        <v>89</v>
      </c>
      <c r="AC28" s="52"/>
      <c r="AD28" s="52">
        <v>1212</v>
      </c>
      <c r="AE28" s="54"/>
      <c r="AF28" s="55"/>
      <c r="AG28" s="55"/>
      <c r="AH28" s="56"/>
      <c r="AI28" s="56"/>
      <c r="AJ28" s="57"/>
      <c r="AK28" s="56"/>
      <c r="AL28" s="46">
        <v>18</v>
      </c>
      <c r="AM28" s="53"/>
      <c r="AN28" s="39"/>
      <c r="AO28" s="39"/>
      <c r="AP28" s="40"/>
    </row>
    <row r="29" spans="1:47" s="41" customFormat="1" ht="18.75" customHeight="1" x14ac:dyDescent="0.25">
      <c r="A29" s="47"/>
      <c r="B29" s="43">
        <f t="shared" si="3"/>
        <v>0</v>
      </c>
      <c r="C29" s="44" t="s">
        <v>84</v>
      </c>
      <c r="D29" s="48"/>
      <c r="E29" s="48"/>
      <c r="F29" s="48">
        <v>6</v>
      </c>
      <c r="G29" s="48"/>
      <c r="H29" s="58"/>
      <c r="I29" s="45"/>
      <c r="J29" s="46">
        <f t="shared" si="4"/>
        <v>0</v>
      </c>
      <c r="K29" s="46"/>
      <c r="L29" s="46"/>
      <c r="M29" s="46"/>
      <c r="N29" s="46">
        <f t="shared" si="5"/>
        <v>0</v>
      </c>
      <c r="O29" s="46"/>
      <c r="P29" s="49"/>
      <c r="Q29" s="50"/>
      <c r="R29" s="43"/>
      <c r="S29" s="45"/>
      <c r="T29" s="44"/>
      <c r="U29" s="44"/>
      <c r="V29" s="51" t="s">
        <v>87</v>
      </c>
      <c r="W29" s="46"/>
      <c r="X29" s="44"/>
      <c r="Y29" s="44" t="s">
        <v>88</v>
      </c>
      <c r="Z29" s="44"/>
      <c r="AA29" s="44"/>
      <c r="AB29" s="44" t="s">
        <v>89</v>
      </c>
      <c r="AC29" s="52"/>
      <c r="AD29" s="52">
        <v>1212</v>
      </c>
      <c r="AE29" s="54"/>
      <c r="AF29" s="55"/>
      <c r="AG29" s="55"/>
      <c r="AH29" s="56"/>
      <c r="AI29" s="56"/>
      <c r="AJ29" s="57"/>
      <c r="AK29" s="56"/>
      <c r="AL29" s="46">
        <v>18</v>
      </c>
      <c r="AM29" s="53"/>
      <c r="AN29" s="39"/>
      <c r="AO29" s="39"/>
      <c r="AP29" s="40"/>
    </row>
    <row r="30" spans="1:47" s="41" customFormat="1" ht="18.75" customHeight="1" x14ac:dyDescent="0.25">
      <c r="A30" s="47"/>
      <c r="B30" s="43">
        <f t="shared" si="3"/>
        <v>0</v>
      </c>
      <c r="C30" s="44" t="s">
        <v>84</v>
      </c>
      <c r="D30" s="48"/>
      <c r="E30" s="48"/>
      <c r="F30" s="48">
        <v>6</v>
      </c>
      <c r="G30" s="48"/>
      <c r="H30" s="58"/>
      <c r="I30" s="45"/>
      <c r="J30" s="46">
        <f t="shared" si="4"/>
        <v>0</v>
      </c>
      <c r="K30" s="46"/>
      <c r="L30" s="46"/>
      <c r="M30" s="46"/>
      <c r="N30" s="46">
        <f t="shared" si="5"/>
        <v>0</v>
      </c>
      <c r="O30" s="46"/>
      <c r="P30" s="49"/>
      <c r="Q30" s="50"/>
      <c r="R30" s="43"/>
      <c r="S30" s="45"/>
      <c r="T30" s="44"/>
      <c r="U30" s="44"/>
      <c r="V30" s="51" t="s">
        <v>87</v>
      </c>
      <c r="W30" s="46"/>
      <c r="X30" s="44"/>
      <c r="Y30" s="44" t="s">
        <v>88</v>
      </c>
      <c r="Z30" s="44"/>
      <c r="AA30" s="44"/>
      <c r="AB30" s="44" t="s">
        <v>89</v>
      </c>
      <c r="AC30" s="52"/>
      <c r="AD30" s="52">
        <v>1212</v>
      </c>
      <c r="AE30" s="54"/>
      <c r="AF30" s="55"/>
      <c r="AG30" s="55"/>
      <c r="AH30" s="56"/>
      <c r="AI30" s="56"/>
      <c r="AJ30" s="57"/>
      <c r="AK30" s="56"/>
      <c r="AL30" s="46">
        <v>18</v>
      </c>
      <c r="AM30" s="53"/>
      <c r="AN30" s="39"/>
      <c r="AO30" s="39"/>
      <c r="AP30" s="40"/>
    </row>
    <row r="31" spans="1:47" s="41" customFormat="1" ht="18.75" customHeight="1" x14ac:dyDescent="0.25">
      <c r="A31" s="47"/>
      <c r="B31" s="43">
        <f t="shared" si="3"/>
        <v>0</v>
      </c>
      <c r="C31" s="44" t="s">
        <v>84</v>
      </c>
      <c r="D31" s="48"/>
      <c r="E31" s="48"/>
      <c r="F31" s="48">
        <v>6</v>
      </c>
      <c r="G31" s="48"/>
      <c r="H31" s="58"/>
      <c r="I31" s="45"/>
      <c r="J31" s="46">
        <f t="shared" si="4"/>
        <v>0</v>
      </c>
      <c r="K31" s="46"/>
      <c r="L31" s="46"/>
      <c r="M31" s="46"/>
      <c r="N31" s="46">
        <f t="shared" si="5"/>
        <v>0</v>
      </c>
      <c r="O31" s="46"/>
      <c r="P31" s="49"/>
      <c r="Q31" s="50"/>
      <c r="R31" s="43"/>
      <c r="S31" s="45"/>
      <c r="T31" s="44"/>
      <c r="U31" s="44"/>
      <c r="V31" s="51" t="s">
        <v>87</v>
      </c>
      <c r="W31" s="46"/>
      <c r="X31" s="44"/>
      <c r="Y31" s="44" t="s">
        <v>88</v>
      </c>
      <c r="Z31" s="44"/>
      <c r="AA31" s="44"/>
      <c r="AB31" s="44" t="s">
        <v>89</v>
      </c>
      <c r="AC31" s="52"/>
      <c r="AD31" s="52">
        <v>1212</v>
      </c>
      <c r="AE31" s="54"/>
      <c r="AF31" s="55"/>
      <c r="AG31" s="55"/>
      <c r="AH31" s="56"/>
      <c r="AI31" s="56"/>
      <c r="AJ31" s="57"/>
      <c r="AK31" s="56"/>
      <c r="AL31" s="46">
        <v>18</v>
      </c>
      <c r="AM31" s="53"/>
      <c r="AN31" s="39"/>
      <c r="AO31" s="39"/>
      <c r="AP31" s="40"/>
    </row>
    <row r="32" spans="1:47" x14ac:dyDescent="0.25">
      <c r="A32" s="24"/>
      <c r="B32" s="24"/>
      <c r="C32" s="25"/>
      <c r="D32" s="25"/>
      <c r="E32" s="25"/>
      <c r="F32" s="25"/>
      <c r="G32" s="104" t="s">
        <v>85</v>
      </c>
      <c r="H32" s="105"/>
      <c r="I32" s="27"/>
      <c r="J32" s="32">
        <f>SUM(J14:J31)</f>
        <v>0</v>
      </c>
      <c r="K32" s="32">
        <f t="shared" ref="K32:P32" si="6">SUM(K14:K31)</f>
        <v>0</v>
      </c>
      <c r="L32" s="32">
        <f t="shared" si="6"/>
        <v>0</v>
      </c>
      <c r="M32" s="32">
        <f t="shared" si="6"/>
        <v>0</v>
      </c>
      <c r="N32" s="32">
        <f t="shared" si="6"/>
        <v>0</v>
      </c>
      <c r="O32" s="32">
        <f t="shared" si="6"/>
        <v>0</v>
      </c>
      <c r="P32" s="32">
        <f t="shared" si="6"/>
        <v>0</v>
      </c>
      <c r="Q32" s="36"/>
      <c r="R32" s="26"/>
      <c r="S32" s="26"/>
      <c r="T32" s="25"/>
      <c r="U32" s="25"/>
      <c r="V32" s="51" t="s">
        <v>87</v>
      </c>
      <c r="W32" s="46"/>
      <c r="X32" s="44"/>
      <c r="Y32" s="44" t="s">
        <v>88</v>
      </c>
      <c r="Z32" s="44"/>
      <c r="AA32" s="44"/>
      <c r="AB32" s="44" t="s">
        <v>89</v>
      </c>
      <c r="AC32" s="52"/>
      <c r="AD32" s="52">
        <v>1212</v>
      </c>
      <c r="AE32" s="54"/>
      <c r="AF32" s="55"/>
      <c r="AG32" s="55"/>
      <c r="AH32" s="56"/>
      <c r="AI32" s="56"/>
      <c r="AJ32" s="57"/>
      <c r="AK32" s="56"/>
      <c r="AL32" s="46">
        <v>18</v>
      </c>
      <c r="AM32" s="9"/>
      <c r="AN32" s="8"/>
      <c r="AO32" s="8"/>
      <c r="AP32" s="7"/>
      <c r="AQ32" s="8"/>
      <c r="AR32" s="9"/>
      <c r="AS32" s="8"/>
      <c r="AT32" s="8"/>
      <c r="AU32" s="9"/>
    </row>
    <row r="33" spans="1:47" x14ac:dyDescent="0.25">
      <c r="A33" s="7"/>
      <c r="B33" s="7"/>
      <c r="C33" s="8"/>
      <c r="D33" s="8"/>
      <c r="E33" s="8"/>
      <c r="F33" s="8"/>
      <c r="G33" s="8"/>
      <c r="H33" s="17"/>
      <c r="I33" s="9"/>
      <c r="J33" s="33"/>
      <c r="K33" s="33"/>
      <c r="L33" s="33"/>
      <c r="M33" s="33"/>
      <c r="N33" s="33">
        <f>+N32+J32+K32</f>
        <v>0</v>
      </c>
      <c r="O33" s="33"/>
      <c r="P33" s="33"/>
      <c r="Q33" s="37"/>
      <c r="R33" s="9"/>
      <c r="S33" s="9"/>
      <c r="T33" s="8"/>
      <c r="U33" s="8"/>
      <c r="V33" s="7"/>
      <c r="W33" s="7"/>
      <c r="X33" s="7"/>
      <c r="Y33" s="7"/>
      <c r="Z33" s="7"/>
      <c r="AA33" s="7"/>
      <c r="AB33" s="7"/>
      <c r="AC33" s="7"/>
      <c r="AD33" s="7"/>
      <c r="AE33" s="7"/>
      <c r="AF33" s="7"/>
      <c r="AG33" s="7"/>
      <c r="AH33" s="7"/>
      <c r="AI33" s="7"/>
      <c r="AJ33" s="7"/>
      <c r="AK33" s="7"/>
      <c r="AL33" s="7"/>
      <c r="AM33" s="9"/>
      <c r="AN33" s="8"/>
      <c r="AO33" s="8"/>
      <c r="AP33" s="7"/>
      <c r="AQ33" s="8"/>
      <c r="AR33" s="9"/>
      <c r="AS33" s="8"/>
      <c r="AT33" s="8"/>
      <c r="AU33" s="9"/>
    </row>
    <row r="34" spans="1:47" x14ac:dyDescent="0.25">
      <c r="A34" s="7"/>
      <c r="B34" s="7"/>
      <c r="C34" s="8"/>
      <c r="D34" s="8"/>
      <c r="E34" s="8"/>
      <c r="F34" s="8"/>
      <c r="G34" s="8"/>
      <c r="H34" s="30" t="s">
        <v>79</v>
      </c>
      <c r="I34" s="30"/>
      <c r="J34" s="30">
        <f>+N32-'FORMATO_ COMPRAS '!K41</f>
        <v>0</v>
      </c>
      <c r="K34" s="31"/>
      <c r="L34" s="9"/>
      <c r="M34" s="9"/>
      <c r="N34" s="9"/>
      <c r="O34" s="9"/>
      <c r="P34" s="9"/>
      <c r="Q34" s="37"/>
      <c r="R34" s="9"/>
      <c r="S34" s="9"/>
      <c r="T34" s="8"/>
      <c r="U34" s="8"/>
      <c r="V34" s="7"/>
      <c r="W34" s="7"/>
      <c r="X34" s="7"/>
      <c r="Y34" s="7"/>
      <c r="Z34" s="7"/>
      <c r="AA34" s="7"/>
      <c r="AB34" s="7"/>
      <c r="AC34" s="7"/>
      <c r="AD34" s="7"/>
      <c r="AE34" s="7"/>
      <c r="AF34" s="7"/>
      <c r="AG34" s="7"/>
      <c r="AH34" s="7"/>
      <c r="AI34" s="7"/>
      <c r="AJ34" s="7"/>
      <c r="AK34" s="7"/>
      <c r="AL34" s="7"/>
      <c r="AM34" s="9"/>
      <c r="AN34" s="8"/>
      <c r="AO34" s="8"/>
      <c r="AP34" s="7"/>
      <c r="AQ34" s="8"/>
      <c r="AR34" s="9"/>
      <c r="AS34" s="8"/>
      <c r="AT34" s="8"/>
      <c r="AU34" s="9"/>
    </row>
    <row r="35" spans="1:47" x14ac:dyDescent="0.25">
      <c r="A35" s="7"/>
      <c r="B35" s="7"/>
      <c r="C35" s="8"/>
      <c r="D35" s="8"/>
      <c r="E35" s="8"/>
      <c r="F35" s="8"/>
      <c r="G35" s="8"/>
      <c r="H35" s="30" t="s">
        <v>86</v>
      </c>
      <c r="I35" s="30"/>
      <c r="J35" s="30">
        <f>+K35*1.5%</f>
        <v>0</v>
      </c>
      <c r="K35" s="31">
        <f>+L32+K32+J32</f>
        <v>0</v>
      </c>
      <c r="L35" s="9"/>
      <c r="M35" s="9"/>
      <c r="N35" s="9"/>
      <c r="O35" s="9"/>
      <c r="P35" s="9"/>
      <c r="Q35" s="37"/>
      <c r="R35" s="9"/>
      <c r="S35" s="9"/>
      <c r="T35" s="8"/>
      <c r="U35" s="8"/>
      <c r="V35" s="7"/>
      <c r="W35" s="7"/>
      <c r="X35" s="7"/>
      <c r="Y35" s="7"/>
      <c r="Z35" s="7"/>
      <c r="AA35" s="7"/>
      <c r="AB35" s="7"/>
      <c r="AC35" s="7"/>
      <c r="AD35" s="7"/>
      <c r="AE35" s="7"/>
      <c r="AF35" s="7"/>
      <c r="AG35" s="7"/>
      <c r="AH35" s="7"/>
      <c r="AI35" s="7"/>
      <c r="AJ35" s="7"/>
      <c r="AK35" s="7"/>
      <c r="AL35" s="7"/>
      <c r="AM35" s="9"/>
      <c r="AN35" s="8"/>
      <c r="AO35" s="8"/>
      <c r="AP35" s="7"/>
      <c r="AQ35" s="8"/>
      <c r="AR35" s="9"/>
      <c r="AS35" s="8"/>
      <c r="AT35" s="8"/>
      <c r="AU35" s="9"/>
    </row>
    <row r="36" spans="1:47" x14ac:dyDescent="0.25">
      <c r="A36" s="7"/>
      <c r="B36" s="7"/>
      <c r="C36" s="8"/>
      <c r="D36" s="8"/>
      <c r="E36" s="8"/>
      <c r="F36" s="8"/>
      <c r="G36" s="8"/>
      <c r="H36" s="17"/>
      <c r="I36" s="9"/>
      <c r="J36" s="9"/>
      <c r="K36" s="9"/>
      <c r="L36" s="9"/>
      <c r="M36" s="9"/>
      <c r="N36" s="9"/>
      <c r="O36" s="9"/>
      <c r="P36" s="9"/>
      <c r="Q36" s="37"/>
      <c r="R36" s="9"/>
      <c r="S36" s="9"/>
      <c r="T36" s="8"/>
      <c r="U36" s="8"/>
      <c r="V36" s="7"/>
      <c r="W36" s="7"/>
      <c r="X36" s="7"/>
      <c r="Y36" s="7"/>
      <c r="Z36" s="7"/>
      <c r="AA36" s="7"/>
      <c r="AB36" s="7"/>
      <c r="AC36" s="7"/>
      <c r="AD36" s="7"/>
      <c r="AE36" s="7"/>
      <c r="AF36" s="7"/>
      <c r="AG36" s="7"/>
      <c r="AH36" s="7"/>
      <c r="AI36" s="7"/>
      <c r="AJ36" s="7"/>
      <c r="AK36" s="7"/>
      <c r="AL36" s="7"/>
      <c r="AM36" s="9"/>
      <c r="AN36" s="8"/>
      <c r="AO36" s="8"/>
      <c r="AP36" s="7"/>
      <c r="AQ36" s="8"/>
      <c r="AR36" s="9"/>
      <c r="AS36" s="8"/>
      <c r="AT36" s="8"/>
      <c r="AU36" s="9"/>
    </row>
    <row r="37" spans="1:47" x14ac:dyDescent="0.25">
      <c r="A37" s="7"/>
      <c r="B37" s="7"/>
      <c r="C37" s="8"/>
      <c r="D37" s="8"/>
      <c r="E37" s="8"/>
      <c r="F37" s="8"/>
      <c r="G37" s="8"/>
      <c r="H37" s="17"/>
      <c r="I37" s="9"/>
      <c r="J37" s="9"/>
      <c r="K37" s="9"/>
      <c r="L37" s="9"/>
      <c r="M37" s="9"/>
      <c r="N37" s="9"/>
      <c r="O37" s="9"/>
      <c r="P37" s="9"/>
      <c r="Q37" s="37"/>
      <c r="R37" s="9"/>
      <c r="S37" s="9"/>
      <c r="T37" s="8"/>
      <c r="U37" s="8"/>
      <c r="V37" s="7"/>
      <c r="W37" s="7"/>
      <c r="X37" s="7"/>
      <c r="Y37" s="7"/>
      <c r="Z37" s="7"/>
      <c r="AA37" s="7"/>
      <c r="AB37" s="7"/>
      <c r="AC37" s="7"/>
      <c r="AD37" s="7"/>
      <c r="AE37" s="7"/>
      <c r="AF37" s="7"/>
      <c r="AG37" s="7"/>
      <c r="AH37" s="7"/>
      <c r="AI37" s="7"/>
      <c r="AJ37" s="7"/>
      <c r="AK37" s="7"/>
      <c r="AL37" s="7"/>
      <c r="AM37" s="9"/>
      <c r="AN37" s="8"/>
      <c r="AO37" s="8"/>
      <c r="AP37" s="7"/>
      <c r="AQ37" s="8"/>
      <c r="AR37" s="9"/>
      <c r="AS37" s="8"/>
      <c r="AT37" s="8"/>
      <c r="AU37" s="9"/>
    </row>
    <row r="38" spans="1:47" x14ac:dyDescent="0.25">
      <c r="A38" s="7"/>
      <c r="B38" s="7"/>
      <c r="C38" s="8"/>
      <c r="D38" s="8"/>
      <c r="E38" s="8"/>
      <c r="F38" s="8"/>
      <c r="G38" s="8"/>
      <c r="H38" s="17"/>
      <c r="I38" s="9"/>
      <c r="J38" s="9"/>
      <c r="K38" s="9"/>
      <c r="L38" s="9"/>
      <c r="M38" s="9"/>
      <c r="N38" s="9"/>
      <c r="O38" s="9"/>
      <c r="P38" s="9"/>
      <c r="Q38" s="37"/>
      <c r="R38" s="9"/>
      <c r="S38" s="9"/>
      <c r="T38" s="8"/>
      <c r="U38" s="8"/>
      <c r="V38" s="7"/>
      <c r="W38" s="7"/>
      <c r="X38" s="7"/>
      <c r="Y38" s="7"/>
      <c r="Z38" s="7"/>
      <c r="AA38" s="7"/>
      <c r="AB38" s="7"/>
      <c r="AC38" s="7"/>
      <c r="AD38" s="7"/>
      <c r="AE38" s="7"/>
      <c r="AF38" s="7"/>
      <c r="AG38" s="7"/>
      <c r="AH38" s="7"/>
      <c r="AI38" s="7"/>
      <c r="AJ38" s="7"/>
      <c r="AK38" s="7"/>
      <c r="AL38" s="7"/>
      <c r="AM38" s="9"/>
      <c r="AN38" s="8"/>
      <c r="AO38" s="8"/>
      <c r="AP38" s="7"/>
      <c r="AQ38" s="8"/>
      <c r="AR38" s="9"/>
      <c r="AS38" s="8"/>
      <c r="AT38" s="8"/>
      <c r="AU38" s="9"/>
    </row>
    <row r="39" spans="1:47" x14ac:dyDescent="0.25">
      <c r="A39" s="7"/>
      <c r="B39" s="7"/>
      <c r="C39" s="8"/>
      <c r="D39" s="8"/>
      <c r="E39" s="8"/>
      <c r="F39" s="8"/>
      <c r="G39" s="8"/>
      <c r="H39" s="17"/>
      <c r="I39" s="9"/>
      <c r="J39" s="9"/>
      <c r="K39" s="9"/>
      <c r="L39" s="9"/>
      <c r="M39" s="9"/>
      <c r="N39" s="9"/>
      <c r="O39" s="9"/>
      <c r="P39" s="9"/>
      <c r="Q39" s="37"/>
      <c r="R39" s="9"/>
      <c r="S39" s="9"/>
      <c r="T39" s="8"/>
      <c r="U39" s="8"/>
      <c r="V39" s="7"/>
      <c r="W39" s="7"/>
      <c r="X39" s="7"/>
      <c r="Y39" s="7"/>
      <c r="Z39" s="7"/>
      <c r="AA39" s="7"/>
      <c r="AB39" s="7"/>
      <c r="AC39" s="7"/>
      <c r="AD39" s="7"/>
      <c r="AE39" s="7"/>
      <c r="AF39" s="7"/>
      <c r="AG39" s="7"/>
      <c r="AH39" s="7"/>
      <c r="AI39" s="7"/>
      <c r="AJ39" s="7"/>
      <c r="AK39" s="7"/>
      <c r="AL39" s="7"/>
      <c r="AM39" s="9"/>
      <c r="AN39" s="8"/>
      <c r="AO39" s="8"/>
      <c r="AP39" s="7"/>
      <c r="AQ39" s="8"/>
      <c r="AR39" s="9"/>
      <c r="AS39" s="8"/>
      <c r="AT39" s="8"/>
      <c r="AU39" s="9"/>
    </row>
    <row r="40" spans="1:47" x14ac:dyDescent="0.25">
      <c r="A40" s="7"/>
      <c r="B40" s="7"/>
      <c r="C40" s="8"/>
      <c r="D40" s="8"/>
      <c r="E40" s="8"/>
      <c r="F40" s="8"/>
      <c r="G40" s="8"/>
      <c r="H40" s="17"/>
      <c r="I40" s="9"/>
      <c r="J40" s="9"/>
      <c r="K40" s="9"/>
      <c r="L40" s="9"/>
      <c r="M40" s="9"/>
      <c r="N40" s="9"/>
      <c r="O40" s="9"/>
      <c r="P40" s="9"/>
      <c r="Q40" s="37"/>
      <c r="R40" s="9"/>
      <c r="S40" s="9"/>
      <c r="T40" s="8"/>
      <c r="U40" s="8"/>
      <c r="V40" s="7"/>
      <c r="W40" s="7"/>
      <c r="X40" s="7"/>
      <c r="Y40" s="7"/>
      <c r="Z40" s="7"/>
      <c r="AA40" s="7"/>
      <c r="AB40" s="7"/>
      <c r="AC40" s="7"/>
      <c r="AD40" s="7"/>
      <c r="AE40" s="7"/>
      <c r="AF40" s="7"/>
      <c r="AG40" s="7"/>
      <c r="AH40" s="7"/>
      <c r="AI40" s="7"/>
      <c r="AJ40" s="7"/>
      <c r="AK40" s="7"/>
      <c r="AL40" s="7"/>
      <c r="AM40" s="9"/>
      <c r="AN40" s="8"/>
      <c r="AO40" s="8"/>
      <c r="AP40" s="7"/>
      <c r="AQ40" s="8"/>
      <c r="AR40" s="9"/>
      <c r="AS40" s="8"/>
      <c r="AT40" s="8"/>
      <c r="AU40" s="9"/>
    </row>
    <row r="41" spans="1:47" x14ac:dyDescent="0.25">
      <c r="A41" s="7"/>
      <c r="B41" s="7"/>
      <c r="C41" s="8"/>
      <c r="D41" s="8"/>
      <c r="E41" s="8"/>
      <c r="F41" s="8"/>
      <c r="G41" s="8"/>
      <c r="H41" s="17"/>
      <c r="I41" s="9"/>
      <c r="J41" s="9"/>
      <c r="K41" s="9"/>
      <c r="L41" s="9"/>
      <c r="M41" s="9"/>
      <c r="N41" s="9"/>
      <c r="O41" s="9"/>
      <c r="P41" s="9"/>
      <c r="Q41" s="37"/>
      <c r="R41" s="9"/>
      <c r="S41" s="9"/>
      <c r="T41" s="8"/>
      <c r="U41" s="8"/>
      <c r="V41" s="7"/>
      <c r="W41" s="10"/>
      <c r="X41" s="7"/>
      <c r="Y41" s="8"/>
      <c r="Z41" s="8"/>
      <c r="AA41" s="8"/>
      <c r="AB41" s="8"/>
      <c r="AC41" s="9"/>
      <c r="AD41" s="7"/>
      <c r="AE41" s="8"/>
      <c r="AF41" s="8"/>
      <c r="AG41" s="8"/>
      <c r="AH41" s="8"/>
      <c r="AI41" s="8"/>
      <c r="AJ41" s="8"/>
      <c r="AK41" s="11"/>
      <c r="AL41" s="9"/>
      <c r="AM41" s="9"/>
      <c r="AN41" s="8"/>
      <c r="AO41" s="8"/>
      <c r="AP41" s="7"/>
      <c r="AQ41" s="8"/>
      <c r="AR41" s="9"/>
      <c r="AS41" s="8"/>
      <c r="AT41" s="8"/>
      <c r="AU41" s="9"/>
    </row>
    <row r="42" spans="1:47" x14ac:dyDescent="0.25">
      <c r="A42" s="7"/>
      <c r="B42" s="7"/>
      <c r="C42" s="8"/>
      <c r="D42" s="8"/>
      <c r="E42" s="8"/>
      <c r="F42" s="8"/>
      <c r="G42" s="8"/>
      <c r="H42" s="17"/>
      <c r="I42" s="9"/>
      <c r="J42" s="9"/>
      <c r="K42" s="9"/>
      <c r="L42" s="9"/>
      <c r="M42" s="9"/>
      <c r="N42" s="9"/>
      <c r="O42" s="9"/>
      <c r="P42" s="9"/>
      <c r="Q42" s="37"/>
      <c r="R42" s="9"/>
      <c r="S42" s="9"/>
      <c r="T42" s="8"/>
      <c r="U42" s="8"/>
      <c r="V42" s="7"/>
      <c r="W42" s="10"/>
      <c r="X42" s="7"/>
      <c r="Y42" s="8"/>
      <c r="Z42" s="8"/>
      <c r="AA42" s="8"/>
      <c r="AB42" s="8"/>
      <c r="AC42" s="9"/>
      <c r="AD42" s="7"/>
      <c r="AE42" s="8"/>
      <c r="AF42" s="8"/>
      <c r="AG42" s="8"/>
      <c r="AH42" s="8"/>
      <c r="AI42" s="8"/>
      <c r="AJ42" s="8"/>
      <c r="AK42" s="11"/>
      <c r="AL42" s="9"/>
      <c r="AM42" s="9"/>
      <c r="AN42" s="8"/>
      <c r="AO42" s="8"/>
      <c r="AP42" s="7"/>
      <c r="AQ42" s="8"/>
      <c r="AR42" s="9"/>
      <c r="AS42" s="8"/>
      <c r="AT42" s="8"/>
      <c r="AU42" s="9"/>
    </row>
    <row r="43" spans="1:47" x14ac:dyDescent="0.25">
      <c r="A43" s="7"/>
      <c r="B43" s="7"/>
      <c r="C43" s="8"/>
      <c r="D43" s="8"/>
      <c r="E43" s="8"/>
      <c r="F43" s="8"/>
      <c r="G43" s="8"/>
      <c r="H43" s="17"/>
      <c r="I43" s="9"/>
      <c r="J43" s="9"/>
      <c r="K43" s="9"/>
      <c r="L43" s="9"/>
      <c r="M43" s="9"/>
      <c r="N43" s="9"/>
      <c r="O43" s="9"/>
      <c r="P43" s="9"/>
      <c r="Q43" s="37"/>
      <c r="R43" s="9"/>
      <c r="S43" s="9"/>
      <c r="T43" s="8"/>
      <c r="U43" s="8"/>
      <c r="V43" s="7"/>
      <c r="W43" s="10"/>
      <c r="X43" s="7"/>
      <c r="Y43" s="8"/>
      <c r="Z43" s="8"/>
      <c r="AA43" s="8"/>
      <c r="AB43" s="8"/>
      <c r="AC43" s="9"/>
      <c r="AD43" s="7"/>
      <c r="AE43" s="8"/>
      <c r="AF43" s="8"/>
      <c r="AG43" s="8"/>
      <c r="AH43" s="8"/>
      <c r="AI43" s="8"/>
      <c r="AJ43" s="8"/>
      <c r="AK43" s="11"/>
      <c r="AL43" s="9"/>
      <c r="AM43" s="9"/>
      <c r="AN43" s="8"/>
      <c r="AO43" s="8"/>
      <c r="AP43" s="7"/>
      <c r="AQ43" s="8"/>
      <c r="AR43" s="9"/>
      <c r="AS43" s="8"/>
      <c r="AT43" s="8"/>
      <c r="AU43" s="9"/>
    </row>
    <row r="44" spans="1:47" x14ac:dyDescent="0.25">
      <c r="A44" s="7"/>
      <c r="B44" s="7"/>
      <c r="C44" s="8"/>
      <c r="D44" s="8"/>
      <c r="E44" s="8"/>
      <c r="F44" s="8"/>
      <c r="G44" s="8"/>
      <c r="H44" s="17"/>
      <c r="I44" s="9"/>
      <c r="J44" s="9"/>
      <c r="K44" s="9"/>
      <c r="L44" s="9"/>
      <c r="M44" s="9"/>
      <c r="N44" s="9"/>
      <c r="O44" s="9"/>
      <c r="P44" s="9"/>
      <c r="Q44" s="37"/>
      <c r="R44" s="9"/>
      <c r="S44" s="9"/>
      <c r="T44" s="8"/>
      <c r="U44" s="8"/>
      <c r="V44" s="7"/>
      <c r="W44" s="10"/>
      <c r="X44" s="7"/>
      <c r="Y44" s="8"/>
      <c r="Z44" s="8"/>
      <c r="AA44" s="8"/>
      <c r="AB44" s="8"/>
      <c r="AC44" s="9"/>
      <c r="AD44" s="7"/>
      <c r="AE44" s="8"/>
      <c r="AF44" s="8"/>
      <c r="AG44" s="8"/>
      <c r="AH44" s="8"/>
      <c r="AI44" s="8"/>
      <c r="AJ44" s="8"/>
      <c r="AK44" s="11"/>
      <c r="AL44" s="9"/>
      <c r="AM44" s="9"/>
      <c r="AN44" s="8"/>
      <c r="AO44" s="8"/>
      <c r="AP44" s="7"/>
      <c r="AQ44" s="8"/>
      <c r="AR44" s="9"/>
      <c r="AS44" s="8"/>
      <c r="AT44" s="8"/>
      <c r="AU44" s="9"/>
    </row>
    <row r="45" spans="1:47" x14ac:dyDescent="0.25">
      <c r="A45" s="7"/>
      <c r="B45" s="7"/>
      <c r="C45" s="8"/>
      <c r="D45" s="8"/>
      <c r="E45" s="8"/>
      <c r="F45" s="8"/>
      <c r="G45" s="8"/>
      <c r="H45" s="17"/>
      <c r="I45" s="9"/>
      <c r="J45" s="9"/>
      <c r="K45" s="9"/>
      <c r="L45" s="9"/>
      <c r="M45" s="9"/>
      <c r="N45" s="9"/>
      <c r="O45" s="9"/>
      <c r="P45" s="9"/>
      <c r="Q45" s="37"/>
      <c r="R45" s="9"/>
      <c r="S45" s="9"/>
      <c r="T45" s="8"/>
      <c r="U45" s="8"/>
      <c r="V45" s="7"/>
      <c r="W45" s="10"/>
      <c r="X45" s="7"/>
      <c r="Y45" s="8"/>
      <c r="Z45" s="8"/>
      <c r="AA45" s="8"/>
      <c r="AB45" s="8"/>
      <c r="AC45" s="9"/>
      <c r="AD45" s="7"/>
      <c r="AE45" s="8"/>
      <c r="AF45" s="8"/>
      <c r="AG45" s="8"/>
      <c r="AH45" s="8"/>
      <c r="AI45" s="8"/>
      <c r="AJ45" s="8"/>
      <c r="AK45" s="11"/>
      <c r="AL45" s="9"/>
      <c r="AM45" s="9"/>
      <c r="AN45" s="8"/>
      <c r="AO45" s="8"/>
      <c r="AP45" s="7"/>
      <c r="AQ45" s="8"/>
      <c r="AR45" s="9"/>
      <c r="AS45" s="8"/>
      <c r="AT45" s="8"/>
      <c r="AU45" s="9"/>
    </row>
    <row r="46" spans="1:47" x14ac:dyDescent="0.25">
      <c r="A46" s="7"/>
      <c r="B46" s="7"/>
      <c r="C46" s="8"/>
      <c r="D46" s="8"/>
      <c r="E46" s="8"/>
      <c r="F46" s="8"/>
      <c r="G46" s="8"/>
      <c r="H46" s="17"/>
      <c r="I46" s="9"/>
      <c r="J46" s="9"/>
      <c r="K46" s="9"/>
      <c r="L46" s="9"/>
      <c r="M46" s="9"/>
      <c r="N46" s="9"/>
      <c r="O46" s="9"/>
      <c r="P46" s="9"/>
      <c r="Q46" s="37"/>
      <c r="R46" s="9"/>
      <c r="S46" s="9"/>
      <c r="T46" s="8"/>
      <c r="U46" s="8"/>
      <c r="V46" s="7"/>
      <c r="W46" s="10"/>
      <c r="X46" s="7"/>
      <c r="Y46" s="8"/>
      <c r="Z46" s="8"/>
      <c r="AA46" s="8"/>
      <c r="AB46" s="8"/>
      <c r="AC46" s="9"/>
      <c r="AD46" s="7"/>
      <c r="AE46" s="8"/>
      <c r="AF46" s="8"/>
      <c r="AG46" s="8"/>
      <c r="AH46" s="8"/>
      <c r="AI46" s="8"/>
      <c r="AJ46" s="8"/>
      <c r="AK46" s="11"/>
      <c r="AL46" s="9"/>
      <c r="AM46" s="9"/>
      <c r="AN46" s="8"/>
      <c r="AO46" s="8"/>
      <c r="AP46" s="7"/>
      <c r="AQ46" s="8"/>
      <c r="AR46" s="9"/>
      <c r="AS46" s="8"/>
      <c r="AT46" s="8"/>
      <c r="AU46" s="9"/>
    </row>
    <row r="47" spans="1:47" x14ac:dyDescent="0.25">
      <c r="A47" s="7"/>
      <c r="B47" s="7"/>
      <c r="C47" s="8"/>
      <c r="D47" s="8"/>
      <c r="E47" s="8"/>
      <c r="F47" s="8"/>
      <c r="G47" s="8"/>
      <c r="H47" s="17"/>
      <c r="I47" s="9"/>
      <c r="J47" s="9"/>
      <c r="K47" s="9"/>
      <c r="L47" s="9"/>
      <c r="M47" s="9"/>
      <c r="N47" s="9"/>
      <c r="O47" s="9"/>
      <c r="P47" s="9"/>
      <c r="Q47" s="37"/>
      <c r="R47" s="9"/>
      <c r="S47" s="9"/>
      <c r="T47" s="8"/>
      <c r="U47" s="8"/>
      <c r="V47" s="7"/>
      <c r="W47" s="10"/>
      <c r="X47" s="7"/>
      <c r="Y47" s="8"/>
      <c r="Z47" s="8"/>
      <c r="AA47" s="8"/>
      <c r="AB47" s="8"/>
      <c r="AC47" s="9"/>
      <c r="AD47" s="7"/>
      <c r="AE47" s="8"/>
      <c r="AF47" s="8"/>
      <c r="AG47" s="8"/>
      <c r="AH47" s="8"/>
      <c r="AI47" s="8"/>
      <c r="AJ47" s="8"/>
      <c r="AK47" s="11"/>
      <c r="AL47" s="9"/>
      <c r="AM47" s="9"/>
      <c r="AN47" s="8"/>
      <c r="AO47" s="8"/>
      <c r="AP47" s="7"/>
      <c r="AQ47" s="8"/>
      <c r="AR47" s="9"/>
      <c r="AS47" s="8"/>
      <c r="AT47" s="8"/>
      <c r="AU47" s="9"/>
    </row>
    <row r="48" spans="1:47" x14ac:dyDescent="0.25">
      <c r="A48" s="7"/>
      <c r="B48" s="7"/>
      <c r="C48" s="8"/>
      <c r="D48" s="8"/>
      <c r="E48" s="8"/>
      <c r="F48" s="8"/>
      <c r="G48" s="8"/>
      <c r="H48" s="17"/>
      <c r="I48" s="9"/>
      <c r="J48" s="9"/>
      <c r="K48" s="9"/>
      <c r="L48" s="9"/>
      <c r="M48" s="9"/>
      <c r="N48" s="9"/>
      <c r="O48" s="9"/>
      <c r="P48" s="9"/>
      <c r="Q48" s="37"/>
      <c r="R48" s="9"/>
      <c r="S48" s="9"/>
      <c r="T48" s="8"/>
      <c r="U48" s="8"/>
      <c r="V48" s="7"/>
      <c r="W48" s="10"/>
      <c r="X48" s="7"/>
      <c r="Y48" s="8"/>
      <c r="Z48" s="8"/>
      <c r="AA48" s="8"/>
      <c r="AB48" s="8"/>
      <c r="AC48" s="9"/>
      <c r="AD48" s="7"/>
      <c r="AE48" s="8"/>
      <c r="AF48" s="8"/>
      <c r="AG48" s="8"/>
      <c r="AH48" s="8"/>
      <c r="AI48" s="8"/>
      <c r="AJ48" s="8"/>
      <c r="AK48" s="11"/>
      <c r="AL48" s="9"/>
      <c r="AM48" s="9"/>
      <c r="AN48" s="8"/>
      <c r="AO48" s="8"/>
      <c r="AP48" s="7"/>
      <c r="AQ48" s="8"/>
      <c r="AR48" s="9"/>
      <c r="AS48" s="8"/>
      <c r="AT48" s="8"/>
      <c r="AU48" s="9"/>
    </row>
    <row r="49" spans="1:47" x14ac:dyDescent="0.25">
      <c r="A49" s="7"/>
      <c r="B49" s="7"/>
      <c r="C49" s="8"/>
      <c r="D49" s="8"/>
      <c r="E49" s="8"/>
      <c r="F49" s="8"/>
      <c r="G49" s="8"/>
      <c r="H49" s="17"/>
      <c r="I49" s="9"/>
      <c r="J49" s="9"/>
      <c r="K49" s="9"/>
      <c r="L49" s="9"/>
      <c r="M49" s="9"/>
      <c r="N49" s="9"/>
      <c r="O49" s="9"/>
      <c r="P49" s="9"/>
      <c r="Q49" s="37"/>
      <c r="R49" s="9"/>
      <c r="S49" s="9"/>
      <c r="T49" s="8"/>
      <c r="U49" s="8"/>
      <c r="V49" s="7"/>
      <c r="W49" s="10"/>
      <c r="X49" s="7"/>
      <c r="Y49" s="8"/>
      <c r="Z49" s="8"/>
      <c r="AA49" s="8"/>
      <c r="AB49" s="8"/>
      <c r="AC49" s="9"/>
      <c r="AD49" s="7"/>
      <c r="AE49" s="8"/>
      <c r="AF49" s="8"/>
      <c r="AG49" s="8"/>
      <c r="AH49" s="8"/>
      <c r="AI49" s="8"/>
      <c r="AJ49" s="8"/>
      <c r="AK49" s="11"/>
      <c r="AL49" s="9"/>
      <c r="AM49" s="9"/>
      <c r="AN49" s="8"/>
      <c r="AO49" s="8"/>
      <c r="AP49" s="7"/>
      <c r="AQ49" s="8"/>
      <c r="AR49" s="9"/>
      <c r="AS49" s="8"/>
      <c r="AT49" s="8"/>
      <c r="AU49" s="9"/>
    </row>
    <row r="50" spans="1:47" x14ac:dyDescent="0.25">
      <c r="A50" s="7"/>
      <c r="B50" s="7"/>
      <c r="C50" s="8"/>
      <c r="D50" s="8"/>
      <c r="E50" s="8"/>
      <c r="F50" s="8"/>
      <c r="G50" s="8"/>
      <c r="H50" s="17"/>
      <c r="I50" s="9"/>
      <c r="J50" s="9"/>
      <c r="K50" s="9"/>
      <c r="L50" s="9"/>
      <c r="M50" s="9"/>
      <c r="N50" s="9"/>
      <c r="O50" s="9"/>
      <c r="P50" s="9"/>
      <c r="Q50" s="37"/>
      <c r="R50" s="9"/>
      <c r="S50" s="9"/>
      <c r="T50" s="8"/>
      <c r="U50" s="8"/>
      <c r="V50" s="7"/>
      <c r="W50" s="10"/>
      <c r="X50" s="7"/>
      <c r="Y50" s="8"/>
      <c r="Z50" s="8"/>
      <c r="AA50" s="8"/>
      <c r="AB50" s="8"/>
      <c r="AC50" s="9"/>
      <c r="AD50" s="7"/>
      <c r="AE50" s="8"/>
      <c r="AF50" s="8"/>
      <c r="AG50" s="8"/>
      <c r="AH50" s="8"/>
      <c r="AI50" s="8"/>
      <c r="AJ50" s="8"/>
      <c r="AK50" s="11"/>
      <c r="AL50" s="9"/>
      <c r="AM50" s="9"/>
      <c r="AN50" s="8"/>
      <c r="AO50" s="8"/>
      <c r="AP50" s="7"/>
      <c r="AQ50" s="8"/>
      <c r="AR50" s="9"/>
      <c r="AS50" s="8"/>
      <c r="AT50" s="8"/>
      <c r="AU50" s="9"/>
    </row>
    <row r="51" spans="1:47" x14ac:dyDescent="0.25">
      <c r="A51" s="7"/>
      <c r="B51" s="7"/>
      <c r="C51" s="8"/>
      <c r="D51" s="8"/>
      <c r="E51" s="8"/>
      <c r="F51" s="8"/>
      <c r="G51" s="8"/>
      <c r="H51" s="17"/>
      <c r="I51" s="9"/>
      <c r="J51" s="9"/>
      <c r="K51" s="9"/>
      <c r="L51" s="9"/>
      <c r="M51" s="9"/>
      <c r="N51" s="9"/>
      <c r="O51" s="9"/>
      <c r="P51" s="9"/>
      <c r="Q51" s="37"/>
      <c r="R51" s="9"/>
      <c r="S51" s="9"/>
      <c r="T51" s="8"/>
      <c r="U51" s="8"/>
      <c r="V51" s="7"/>
      <c r="W51" s="10"/>
      <c r="X51" s="7"/>
      <c r="Y51" s="8"/>
      <c r="Z51" s="8"/>
      <c r="AA51" s="8"/>
      <c r="AB51" s="8"/>
      <c r="AC51" s="9"/>
      <c r="AD51" s="7"/>
      <c r="AE51" s="8"/>
      <c r="AF51" s="8"/>
      <c r="AG51" s="8"/>
      <c r="AH51" s="8"/>
      <c r="AI51" s="8"/>
      <c r="AJ51" s="8"/>
      <c r="AK51" s="11"/>
      <c r="AL51" s="9"/>
      <c r="AM51" s="9"/>
      <c r="AN51" s="8"/>
      <c r="AO51" s="8"/>
      <c r="AP51" s="7"/>
      <c r="AQ51" s="8"/>
      <c r="AR51" s="9"/>
      <c r="AS51" s="8"/>
      <c r="AT51" s="8"/>
      <c r="AU51" s="9"/>
    </row>
    <row r="52" spans="1:47" x14ac:dyDescent="0.25">
      <c r="A52" s="7"/>
      <c r="B52" s="7"/>
      <c r="C52" s="8"/>
      <c r="D52" s="8"/>
      <c r="E52" s="8"/>
      <c r="F52" s="8"/>
      <c r="G52" s="8"/>
      <c r="H52" s="17"/>
      <c r="I52" s="9"/>
      <c r="J52" s="9"/>
      <c r="K52" s="9"/>
      <c r="L52" s="9"/>
      <c r="M52" s="9"/>
      <c r="N52" s="9"/>
      <c r="O52" s="9"/>
      <c r="P52" s="9"/>
      <c r="Q52" s="37"/>
      <c r="R52" s="9"/>
      <c r="S52" s="9"/>
      <c r="T52" s="8"/>
      <c r="U52" s="8"/>
      <c r="V52" s="7"/>
      <c r="W52" s="10"/>
      <c r="X52" s="7"/>
      <c r="Y52" s="8"/>
      <c r="Z52" s="8"/>
      <c r="AA52" s="8"/>
      <c r="AB52" s="8"/>
      <c r="AC52" s="9"/>
      <c r="AD52" s="7"/>
      <c r="AE52" s="8"/>
      <c r="AF52" s="8"/>
      <c r="AG52" s="8"/>
      <c r="AH52" s="8"/>
      <c r="AI52" s="8"/>
      <c r="AJ52" s="8"/>
      <c r="AK52" s="11"/>
      <c r="AL52" s="9"/>
      <c r="AM52" s="9"/>
      <c r="AN52" s="8"/>
      <c r="AO52" s="8"/>
      <c r="AP52" s="7"/>
      <c r="AQ52" s="8"/>
      <c r="AR52" s="9"/>
      <c r="AS52" s="8"/>
      <c r="AT52" s="8"/>
      <c r="AU52" s="9"/>
    </row>
    <row r="53" spans="1:47" x14ac:dyDescent="0.25">
      <c r="A53" s="7"/>
      <c r="B53" s="7"/>
      <c r="C53" s="8"/>
      <c r="D53" s="8"/>
      <c r="E53" s="8"/>
      <c r="F53" s="8"/>
      <c r="G53" s="8"/>
      <c r="H53" s="17"/>
      <c r="I53" s="9"/>
      <c r="J53" s="9"/>
      <c r="K53" s="9"/>
      <c r="L53" s="9"/>
      <c r="M53" s="9"/>
      <c r="N53" s="9"/>
      <c r="O53" s="9"/>
      <c r="P53" s="9"/>
      <c r="Q53" s="37"/>
      <c r="R53" s="9"/>
      <c r="S53" s="9"/>
      <c r="T53" s="8"/>
      <c r="U53" s="8"/>
      <c r="V53" s="7"/>
      <c r="W53" s="10"/>
      <c r="X53" s="7"/>
      <c r="Y53" s="8"/>
      <c r="Z53" s="8"/>
      <c r="AA53" s="8"/>
      <c r="AB53" s="8"/>
      <c r="AC53" s="9"/>
      <c r="AD53" s="7"/>
      <c r="AE53" s="8"/>
      <c r="AF53" s="8"/>
      <c r="AG53" s="8"/>
      <c r="AH53" s="8"/>
      <c r="AI53" s="8"/>
      <c r="AJ53" s="8"/>
      <c r="AK53" s="11"/>
      <c r="AL53" s="9"/>
      <c r="AM53" s="9"/>
      <c r="AN53" s="8"/>
      <c r="AO53" s="8"/>
      <c r="AP53" s="7"/>
      <c r="AQ53" s="8"/>
      <c r="AR53" s="9"/>
      <c r="AS53" s="8"/>
      <c r="AT53" s="8"/>
      <c r="AU53" s="9"/>
    </row>
    <row r="54" spans="1:47" x14ac:dyDescent="0.25">
      <c r="A54" s="7"/>
      <c r="B54" s="7"/>
      <c r="C54" s="8"/>
      <c r="D54" s="8"/>
      <c r="E54" s="8"/>
      <c r="F54" s="8"/>
      <c r="G54" s="8"/>
      <c r="H54" s="17"/>
      <c r="I54" s="9"/>
      <c r="J54" s="9"/>
      <c r="K54" s="9"/>
      <c r="L54" s="9"/>
      <c r="M54" s="9"/>
      <c r="N54" s="9"/>
      <c r="O54" s="9"/>
      <c r="P54" s="9"/>
      <c r="Q54" s="37"/>
      <c r="R54" s="9"/>
      <c r="S54" s="9"/>
      <c r="T54" s="8"/>
      <c r="U54" s="8"/>
      <c r="V54" s="7"/>
      <c r="W54" s="10"/>
      <c r="X54" s="7"/>
      <c r="Y54" s="8"/>
      <c r="Z54" s="8"/>
      <c r="AA54" s="8"/>
      <c r="AB54" s="8"/>
      <c r="AC54" s="9"/>
      <c r="AD54" s="7"/>
      <c r="AE54" s="8"/>
      <c r="AF54" s="8"/>
      <c r="AG54" s="8"/>
      <c r="AH54" s="8"/>
      <c r="AI54" s="8"/>
      <c r="AJ54" s="8"/>
      <c r="AK54" s="11"/>
      <c r="AL54" s="9"/>
      <c r="AM54" s="9"/>
      <c r="AN54" s="8"/>
      <c r="AO54" s="8"/>
      <c r="AP54" s="7"/>
      <c r="AQ54" s="8"/>
      <c r="AR54" s="9"/>
      <c r="AS54" s="8"/>
      <c r="AT54" s="8"/>
      <c r="AU54" s="9"/>
    </row>
    <row r="55" spans="1:47" x14ac:dyDescent="0.25">
      <c r="A55" s="7"/>
      <c r="B55" s="7"/>
      <c r="C55" s="8"/>
      <c r="D55" s="8"/>
      <c r="E55" s="8"/>
      <c r="F55" s="8"/>
      <c r="G55" s="8"/>
      <c r="H55" s="17"/>
      <c r="I55" s="9"/>
      <c r="J55" s="9"/>
      <c r="K55" s="9"/>
      <c r="L55" s="9"/>
      <c r="M55" s="9"/>
      <c r="N55" s="9"/>
      <c r="O55" s="9"/>
      <c r="P55" s="9"/>
      <c r="Q55" s="37"/>
      <c r="R55" s="9"/>
      <c r="S55" s="9"/>
      <c r="T55" s="8"/>
      <c r="U55" s="8"/>
      <c r="V55" s="7"/>
      <c r="W55" s="10"/>
      <c r="X55" s="7"/>
      <c r="Y55" s="8"/>
      <c r="Z55" s="8"/>
      <c r="AA55" s="8"/>
      <c r="AB55" s="8"/>
      <c r="AC55" s="9"/>
      <c r="AD55" s="7"/>
      <c r="AE55" s="8"/>
      <c r="AF55" s="8"/>
      <c r="AG55" s="8"/>
      <c r="AH55" s="8"/>
      <c r="AI55" s="8"/>
      <c r="AJ55" s="8"/>
      <c r="AK55" s="11"/>
      <c r="AL55" s="9"/>
      <c r="AM55" s="9"/>
      <c r="AN55" s="8"/>
      <c r="AO55" s="8"/>
      <c r="AP55" s="7"/>
      <c r="AQ55" s="8"/>
      <c r="AR55" s="9"/>
      <c r="AS55" s="8"/>
      <c r="AT55" s="8"/>
      <c r="AU55" s="9"/>
    </row>
    <row r="56" spans="1:47" x14ac:dyDescent="0.25">
      <c r="A56" s="7"/>
      <c r="B56" s="7"/>
      <c r="C56" s="8"/>
      <c r="D56" s="8"/>
      <c r="E56" s="8"/>
      <c r="F56" s="8"/>
      <c r="G56" s="8"/>
      <c r="H56" s="17"/>
      <c r="I56" s="9"/>
      <c r="J56" s="9"/>
      <c r="K56" s="9"/>
      <c r="L56" s="9"/>
      <c r="M56" s="9"/>
      <c r="N56" s="9"/>
      <c r="O56" s="9"/>
      <c r="P56" s="9"/>
      <c r="Q56" s="37"/>
      <c r="R56" s="9"/>
      <c r="S56" s="9"/>
      <c r="T56" s="8"/>
      <c r="U56" s="8"/>
      <c r="V56" s="7"/>
      <c r="W56" s="10"/>
      <c r="X56" s="7"/>
      <c r="Y56" s="8"/>
      <c r="Z56" s="8"/>
      <c r="AA56" s="8"/>
      <c r="AB56" s="8"/>
      <c r="AC56" s="9"/>
      <c r="AD56" s="7"/>
      <c r="AE56" s="8"/>
      <c r="AF56" s="8"/>
      <c r="AG56" s="8"/>
      <c r="AH56" s="8"/>
      <c r="AI56" s="8"/>
      <c r="AJ56" s="8"/>
      <c r="AK56" s="11"/>
      <c r="AL56" s="9"/>
      <c r="AM56" s="9"/>
      <c r="AN56" s="8"/>
      <c r="AO56" s="8"/>
      <c r="AP56" s="7"/>
      <c r="AQ56" s="8"/>
      <c r="AR56" s="9"/>
      <c r="AS56" s="8"/>
      <c r="AT56" s="8"/>
      <c r="AU56" s="9"/>
    </row>
    <row r="57" spans="1:47" x14ac:dyDescent="0.25">
      <c r="A57" s="7"/>
      <c r="B57" s="7"/>
      <c r="C57" s="8"/>
      <c r="D57" s="8"/>
      <c r="E57" s="8"/>
      <c r="F57" s="8"/>
      <c r="G57" s="8"/>
      <c r="H57" s="17"/>
      <c r="I57" s="9"/>
      <c r="J57" s="9"/>
      <c r="K57" s="9"/>
      <c r="L57" s="9"/>
      <c r="M57" s="9"/>
      <c r="N57" s="9"/>
      <c r="O57" s="9"/>
      <c r="P57" s="9"/>
      <c r="Q57" s="37"/>
      <c r="R57" s="9"/>
      <c r="S57" s="9"/>
      <c r="T57" s="8"/>
      <c r="U57" s="8"/>
      <c r="V57" s="7"/>
      <c r="W57" s="10"/>
      <c r="X57" s="7"/>
      <c r="Y57" s="8"/>
      <c r="Z57" s="8"/>
      <c r="AA57" s="8"/>
      <c r="AB57" s="8"/>
      <c r="AC57" s="9"/>
      <c r="AD57" s="7"/>
      <c r="AE57" s="8"/>
      <c r="AF57" s="8"/>
      <c r="AG57" s="8"/>
      <c r="AH57" s="8"/>
      <c r="AI57" s="8"/>
      <c r="AJ57" s="8"/>
      <c r="AK57" s="11"/>
      <c r="AL57" s="9"/>
      <c r="AM57" s="9"/>
      <c r="AN57" s="8"/>
      <c r="AO57" s="8"/>
      <c r="AP57" s="7"/>
      <c r="AQ57" s="8"/>
      <c r="AR57" s="9"/>
      <c r="AS57" s="8"/>
      <c r="AT57" s="8"/>
      <c r="AU57" s="9"/>
    </row>
    <row r="58" spans="1:47" x14ac:dyDescent="0.25">
      <c r="A58" s="7"/>
      <c r="B58" s="7"/>
      <c r="C58" s="8"/>
      <c r="D58" s="8"/>
      <c r="E58" s="8"/>
      <c r="F58" s="8"/>
      <c r="G58" s="8"/>
      <c r="H58" s="17"/>
      <c r="I58" s="9"/>
      <c r="J58" s="9"/>
      <c r="K58" s="9"/>
      <c r="L58" s="9"/>
      <c r="M58" s="9"/>
      <c r="N58" s="9"/>
      <c r="O58" s="9"/>
      <c r="P58" s="9"/>
      <c r="Q58" s="37"/>
      <c r="R58" s="9"/>
      <c r="S58" s="9"/>
      <c r="T58" s="8"/>
      <c r="U58" s="8"/>
      <c r="V58" s="7"/>
      <c r="W58" s="10"/>
      <c r="X58" s="7"/>
      <c r="Y58" s="8"/>
      <c r="Z58" s="8"/>
      <c r="AA58" s="8"/>
      <c r="AB58" s="8"/>
      <c r="AC58" s="9"/>
      <c r="AD58" s="7"/>
      <c r="AE58" s="8"/>
      <c r="AF58" s="8"/>
      <c r="AG58" s="8"/>
      <c r="AH58" s="8"/>
      <c r="AI58" s="8"/>
      <c r="AJ58" s="8"/>
      <c r="AK58" s="11"/>
      <c r="AL58" s="9"/>
      <c r="AM58" s="9"/>
      <c r="AN58" s="8"/>
      <c r="AO58" s="8"/>
      <c r="AP58" s="7"/>
      <c r="AQ58" s="8"/>
      <c r="AR58" s="9"/>
      <c r="AS58" s="8"/>
      <c r="AT58" s="8"/>
      <c r="AU58" s="9"/>
    </row>
    <row r="59" spans="1:47" x14ac:dyDescent="0.25">
      <c r="A59" s="7"/>
      <c r="B59" s="7"/>
      <c r="C59" s="8"/>
      <c r="D59" s="8"/>
      <c r="E59" s="8"/>
      <c r="F59" s="8"/>
      <c r="G59" s="8"/>
      <c r="H59" s="17"/>
      <c r="I59" s="9"/>
      <c r="J59" s="9"/>
      <c r="K59" s="9"/>
      <c r="L59" s="9"/>
      <c r="M59" s="9"/>
      <c r="N59" s="9"/>
      <c r="O59" s="9"/>
      <c r="P59" s="9"/>
      <c r="Q59" s="37"/>
      <c r="R59" s="9"/>
      <c r="S59" s="9"/>
      <c r="T59" s="8"/>
      <c r="U59" s="8"/>
      <c r="V59" s="7"/>
      <c r="W59" s="10"/>
      <c r="X59" s="7"/>
      <c r="Y59" s="8"/>
      <c r="Z59" s="8"/>
      <c r="AA59" s="8"/>
      <c r="AB59" s="8"/>
      <c r="AC59" s="9"/>
      <c r="AD59" s="7"/>
      <c r="AE59" s="8"/>
      <c r="AF59" s="8"/>
      <c r="AG59" s="8"/>
      <c r="AH59" s="8"/>
      <c r="AI59" s="8"/>
      <c r="AJ59" s="8"/>
      <c r="AK59" s="11"/>
      <c r="AL59" s="9"/>
      <c r="AM59" s="9"/>
      <c r="AN59" s="8"/>
      <c r="AO59" s="8"/>
      <c r="AP59" s="7"/>
      <c r="AQ59" s="8"/>
      <c r="AR59" s="9"/>
      <c r="AS59" s="8"/>
      <c r="AT59" s="8"/>
      <c r="AU59" s="9"/>
    </row>
    <row r="60" spans="1:47" x14ac:dyDescent="0.25">
      <c r="A60" s="7"/>
      <c r="B60" s="7"/>
      <c r="C60" s="8"/>
      <c r="D60" s="8"/>
      <c r="E60" s="8"/>
      <c r="F60" s="8"/>
      <c r="G60" s="8"/>
      <c r="H60" s="17"/>
      <c r="I60" s="9"/>
      <c r="J60" s="9"/>
      <c r="K60" s="9"/>
      <c r="L60" s="9"/>
      <c r="M60" s="9"/>
      <c r="N60" s="9"/>
      <c r="O60" s="9"/>
      <c r="P60" s="9"/>
      <c r="Q60" s="37"/>
      <c r="R60" s="9"/>
      <c r="S60" s="9"/>
      <c r="T60" s="8"/>
      <c r="U60" s="8"/>
      <c r="V60" s="7"/>
      <c r="W60" s="10"/>
      <c r="X60" s="7"/>
      <c r="Y60" s="8"/>
      <c r="Z60" s="8"/>
      <c r="AA60" s="8"/>
      <c r="AB60" s="8"/>
      <c r="AC60" s="9"/>
      <c r="AD60" s="7"/>
      <c r="AE60" s="8"/>
      <c r="AF60" s="8"/>
      <c r="AG60" s="8"/>
      <c r="AH60" s="8"/>
      <c r="AI60" s="8"/>
      <c r="AJ60" s="8"/>
      <c r="AK60" s="11"/>
      <c r="AL60" s="9"/>
      <c r="AM60" s="9"/>
      <c r="AN60" s="8"/>
      <c r="AO60" s="8"/>
      <c r="AP60" s="7"/>
      <c r="AQ60" s="8"/>
      <c r="AR60" s="9"/>
      <c r="AS60" s="8"/>
      <c r="AT60" s="8"/>
      <c r="AU60" s="9"/>
    </row>
    <row r="61" spans="1:47" x14ac:dyDescent="0.25">
      <c r="B61" s="7"/>
      <c r="C61" s="8"/>
      <c r="D61" s="8"/>
      <c r="E61" s="8"/>
      <c r="F61" s="8"/>
      <c r="G61" s="8"/>
      <c r="H61" s="17"/>
      <c r="I61" s="9"/>
      <c r="J61" s="9"/>
      <c r="K61" s="9"/>
      <c r="L61" s="9"/>
      <c r="M61" s="9"/>
      <c r="N61" s="9"/>
      <c r="R61" s="3"/>
      <c r="S61" s="3"/>
      <c r="V61" s="1"/>
      <c r="W61" s="4"/>
      <c r="AC61" s="3"/>
      <c r="AD61" s="1"/>
      <c r="AE61" s="2"/>
      <c r="AF61" s="2"/>
      <c r="AG61" s="2"/>
      <c r="AJ61" s="2"/>
      <c r="AK61" s="5"/>
      <c r="AM61" s="3"/>
      <c r="AP61" s="1"/>
      <c r="AQ61" s="2"/>
      <c r="AR61" s="3"/>
      <c r="AS61" s="2"/>
      <c r="AT61" s="2"/>
      <c r="AU61" s="3"/>
    </row>
    <row r="62" spans="1:47" x14ac:dyDescent="0.25">
      <c r="B62" s="7"/>
      <c r="C62" s="8"/>
      <c r="D62" s="8"/>
      <c r="E62" s="8"/>
      <c r="F62" s="8"/>
      <c r="G62" s="8"/>
      <c r="H62" s="17"/>
      <c r="I62" s="9"/>
      <c r="J62" s="9"/>
      <c r="K62" s="9"/>
      <c r="L62" s="9"/>
      <c r="M62" s="9"/>
      <c r="N62" s="9"/>
      <c r="R62" s="3"/>
      <c r="S62" s="3"/>
      <c r="V62" s="1"/>
      <c r="W62" s="4"/>
      <c r="AC62" s="3"/>
      <c r="AD62" s="1"/>
      <c r="AE62" s="2"/>
      <c r="AF62" s="2"/>
      <c r="AG62" s="2"/>
      <c r="AJ62" s="2"/>
      <c r="AK62" s="5"/>
      <c r="AM62" s="3"/>
      <c r="AP62" s="1"/>
      <c r="AQ62" s="2"/>
      <c r="AR62" s="3"/>
      <c r="AS62" s="2"/>
      <c r="AT62" s="2"/>
      <c r="AU62" s="3"/>
    </row>
    <row r="63" spans="1:47" x14ac:dyDescent="0.25">
      <c r="B63" s="7"/>
      <c r="C63" s="8"/>
      <c r="D63" s="8"/>
      <c r="E63" s="8"/>
      <c r="F63" s="8"/>
      <c r="G63" s="8"/>
      <c r="H63" s="17"/>
      <c r="I63" s="9"/>
      <c r="J63" s="9"/>
      <c r="K63" s="9"/>
      <c r="L63" s="9"/>
      <c r="M63" s="9"/>
      <c r="N63" s="9"/>
      <c r="R63" s="3"/>
      <c r="S63" s="3"/>
      <c r="V63" s="1"/>
      <c r="W63" s="4"/>
      <c r="AC63" s="3"/>
      <c r="AD63" s="1"/>
      <c r="AE63" s="2"/>
      <c r="AF63" s="2"/>
      <c r="AG63" s="2"/>
      <c r="AJ63" s="2"/>
      <c r="AK63" s="5"/>
      <c r="AM63" s="3"/>
      <c r="AP63" s="1"/>
      <c r="AQ63" s="2"/>
      <c r="AR63" s="3"/>
      <c r="AS63" s="2"/>
      <c r="AT63" s="2"/>
      <c r="AU63" s="3"/>
    </row>
    <row r="64" spans="1:47" x14ac:dyDescent="0.25">
      <c r="B64" s="7"/>
      <c r="C64" s="8"/>
      <c r="D64" s="8"/>
      <c r="E64" s="8"/>
      <c r="F64" s="8"/>
      <c r="G64" s="8"/>
      <c r="H64" s="17"/>
      <c r="I64" s="18"/>
      <c r="J64" s="18"/>
      <c r="K64" s="18"/>
      <c r="N64" s="18"/>
      <c r="P64" s="18"/>
      <c r="R64" s="3"/>
      <c r="S64" s="18"/>
      <c r="V64" s="1"/>
      <c r="W64" s="4"/>
      <c r="AC64" s="3"/>
      <c r="AD64" s="1"/>
      <c r="AE64" s="2"/>
      <c r="AF64" s="2"/>
      <c r="AG64" s="2"/>
      <c r="AJ64" s="2"/>
      <c r="AK64" s="5"/>
      <c r="AM64" s="3"/>
      <c r="AP64" s="1"/>
      <c r="AQ64" s="2"/>
      <c r="AR64" s="3"/>
      <c r="AS64" s="2"/>
      <c r="AT64" s="2"/>
      <c r="AU64" s="3"/>
    </row>
    <row r="65" spans="2:47" x14ac:dyDescent="0.25">
      <c r="B65" s="7"/>
      <c r="C65" s="8"/>
      <c r="D65" s="8"/>
      <c r="F65" s="8"/>
      <c r="G65" s="8"/>
      <c r="H65" s="8"/>
      <c r="I65" s="17"/>
      <c r="R65" s="3"/>
      <c r="S65" s="3"/>
      <c r="V65" s="1"/>
      <c r="W65" s="4"/>
      <c r="AC65" s="3"/>
      <c r="AD65" s="1"/>
      <c r="AE65" s="2"/>
      <c r="AF65" s="2"/>
      <c r="AG65" s="2"/>
      <c r="AJ65" s="2"/>
      <c r="AK65" s="5"/>
      <c r="AM65" s="3"/>
      <c r="AP65" s="1"/>
      <c r="AQ65" s="2"/>
      <c r="AR65" s="3"/>
      <c r="AS65" s="2"/>
      <c r="AT65" s="2"/>
      <c r="AU65" s="3"/>
    </row>
    <row r="66" spans="2:47" x14ac:dyDescent="0.25">
      <c r="B66" s="7"/>
      <c r="C66" s="8"/>
      <c r="D66" s="8"/>
      <c r="F66" s="8"/>
      <c r="G66" s="8"/>
      <c r="H66" s="8"/>
      <c r="I66" s="17"/>
      <c r="R66" s="3"/>
      <c r="S66" s="3"/>
      <c r="V66" s="1"/>
      <c r="W66" s="4"/>
      <c r="AC66" s="3"/>
      <c r="AD66" s="1"/>
      <c r="AE66" s="2"/>
      <c r="AF66" s="2"/>
      <c r="AG66" s="2"/>
      <c r="AJ66" s="2"/>
      <c r="AK66" s="5"/>
      <c r="AM66" s="3"/>
      <c r="AP66" s="1"/>
      <c r="AQ66" s="2"/>
      <c r="AR66" s="3"/>
      <c r="AS66" s="2"/>
      <c r="AT66" s="2"/>
      <c r="AU66" s="3"/>
    </row>
    <row r="67" spans="2:47" x14ac:dyDescent="0.25">
      <c r="B67" s="7"/>
      <c r="C67" s="8"/>
      <c r="D67" s="8"/>
      <c r="F67" s="8"/>
      <c r="G67" s="8"/>
      <c r="H67" s="8"/>
      <c r="I67" s="17"/>
      <c r="R67" s="3"/>
      <c r="S67" s="3"/>
      <c r="V67" s="1"/>
      <c r="W67" s="4"/>
      <c r="AC67" s="3"/>
      <c r="AD67" s="1"/>
      <c r="AE67" s="2"/>
      <c r="AF67" s="2"/>
      <c r="AG67" s="2"/>
      <c r="AJ67" s="2"/>
      <c r="AK67" s="5"/>
      <c r="AM67" s="3"/>
      <c r="AP67" s="1"/>
      <c r="AQ67" s="2"/>
      <c r="AR67" s="3"/>
      <c r="AS67" s="2"/>
      <c r="AT67" s="2"/>
      <c r="AU67" s="3"/>
    </row>
    <row r="68" spans="2:47" x14ac:dyDescent="0.25">
      <c r="B68" s="7"/>
      <c r="C68" s="8"/>
      <c r="D68" s="8"/>
      <c r="F68" s="8"/>
      <c r="G68" s="8"/>
      <c r="H68" s="8"/>
      <c r="I68" s="17"/>
      <c r="R68" s="3"/>
      <c r="S68" s="3"/>
      <c r="V68" s="1"/>
      <c r="W68" s="4"/>
      <c r="AC68" s="3"/>
      <c r="AD68" s="1"/>
      <c r="AE68" s="2"/>
      <c r="AF68" s="2"/>
      <c r="AG68" s="2"/>
      <c r="AJ68" s="2"/>
      <c r="AK68" s="5"/>
      <c r="AM68" s="3"/>
      <c r="AP68" s="1"/>
      <c r="AQ68" s="2"/>
      <c r="AR68" s="3"/>
      <c r="AS68" s="2"/>
      <c r="AT68" s="2"/>
      <c r="AU68" s="3"/>
    </row>
    <row r="69" spans="2:47" x14ac:dyDescent="0.25">
      <c r="B69" s="7"/>
      <c r="C69" s="8"/>
      <c r="D69" s="8"/>
      <c r="F69" s="8"/>
      <c r="G69" s="8"/>
      <c r="H69" s="8"/>
      <c r="I69" s="17"/>
      <c r="R69" s="3"/>
      <c r="S69" s="3"/>
      <c r="V69" s="1"/>
      <c r="W69" s="4"/>
      <c r="AC69" s="3"/>
      <c r="AD69" s="1"/>
      <c r="AE69" s="2"/>
      <c r="AF69" s="2"/>
      <c r="AG69" s="2"/>
      <c r="AJ69" s="2"/>
      <c r="AK69" s="5"/>
      <c r="AM69" s="3"/>
      <c r="AP69" s="1"/>
      <c r="AQ69" s="2"/>
      <c r="AR69" s="3"/>
      <c r="AS69" s="2"/>
      <c r="AT69" s="2"/>
      <c r="AU69" s="3"/>
    </row>
    <row r="70" spans="2:47" x14ac:dyDescent="0.25">
      <c r="B70" s="7"/>
      <c r="C70" s="8"/>
      <c r="D70" s="8"/>
      <c r="F70" s="8"/>
      <c r="G70" s="8"/>
      <c r="H70" s="8"/>
      <c r="I70" s="17"/>
      <c r="R70" s="3"/>
      <c r="S70" s="3"/>
      <c r="V70" s="1"/>
      <c r="W70" s="4"/>
      <c r="AC70" s="3"/>
      <c r="AD70" s="1"/>
      <c r="AE70" s="2"/>
      <c r="AF70" s="2"/>
      <c r="AG70" s="2"/>
      <c r="AJ70" s="2"/>
      <c r="AK70" s="5"/>
      <c r="AM70" s="3"/>
      <c r="AP70" s="1"/>
      <c r="AQ70" s="2"/>
      <c r="AR70" s="3"/>
      <c r="AS70" s="2"/>
      <c r="AT70" s="2"/>
      <c r="AU70" s="3"/>
    </row>
    <row r="71" spans="2:47" x14ac:dyDescent="0.25">
      <c r="B71" s="7"/>
      <c r="C71" s="8"/>
      <c r="D71" s="8"/>
      <c r="F71" s="8"/>
      <c r="G71" s="8"/>
      <c r="H71" s="8"/>
      <c r="I71" s="17"/>
      <c r="R71" s="3"/>
      <c r="S71" s="3"/>
      <c r="V71" s="1"/>
      <c r="W71" s="4"/>
      <c r="AC71" s="3"/>
      <c r="AD71" s="1"/>
      <c r="AE71" s="2"/>
      <c r="AF71" s="2"/>
      <c r="AG71" s="2"/>
      <c r="AJ71" s="2"/>
      <c r="AK71" s="5"/>
      <c r="AM71" s="3"/>
      <c r="AP71" s="1"/>
      <c r="AQ71" s="2"/>
      <c r="AR71" s="3"/>
      <c r="AS71" s="2"/>
      <c r="AT71" s="2"/>
      <c r="AU71" s="3"/>
    </row>
    <row r="72" spans="2:47" x14ac:dyDescent="0.25">
      <c r="B72" s="7"/>
      <c r="C72" s="8"/>
      <c r="D72" s="8"/>
      <c r="F72" s="8"/>
      <c r="G72" s="8"/>
      <c r="H72" s="8"/>
      <c r="I72" s="17"/>
      <c r="R72" s="3"/>
      <c r="S72" s="3"/>
      <c r="V72" s="1"/>
      <c r="W72" s="4"/>
      <c r="AC72" s="3"/>
      <c r="AD72" s="1"/>
      <c r="AE72" s="2"/>
      <c r="AF72" s="2"/>
      <c r="AG72" s="2"/>
      <c r="AJ72" s="2"/>
      <c r="AK72" s="5"/>
      <c r="AM72" s="3"/>
      <c r="AP72" s="1"/>
      <c r="AQ72" s="2"/>
      <c r="AR72" s="3"/>
      <c r="AS72" s="2"/>
      <c r="AT72" s="2"/>
      <c r="AU72" s="3"/>
    </row>
  </sheetData>
  <mergeCells count="38">
    <mergeCell ref="AN10:AN12"/>
    <mergeCell ref="AO10:AO12"/>
    <mergeCell ref="AP10:AP12"/>
    <mergeCell ref="AH10:AH12"/>
    <mergeCell ref="AI10:AI12"/>
    <mergeCell ref="AJ10:AJ12"/>
    <mergeCell ref="AK10:AK12"/>
    <mergeCell ref="AL10:AL12"/>
    <mergeCell ref="AM10:AM12"/>
    <mergeCell ref="Q10:Q12"/>
    <mergeCell ref="AG10:AG12"/>
    <mergeCell ref="V10:V12"/>
    <mergeCell ref="W10:W12"/>
    <mergeCell ref="X10:X12"/>
    <mergeCell ref="Y10:Y12"/>
    <mergeCell ref="Z10:Z12"/>
    <mergeCell ref="AA10:AA12"/>
    <mergeCell ref="AB10:AB12"/>
    <mergeCell ref="AC10:AC12"/>
    <mergeCell ref="AD10:AD12"/>
    <mergeCell ref="AE10:AE12"/>
    <mergeCell ref="AF10:AF12"/>
    <mergeCell ref="G32:H32"/>
    <mergeCell ref="R10:U11"/>
    <mergeCell ref="A8:AJ8"/>
    <mergeCell ref="A10:A12"/>
    <mergeCell ref="B10:B12"/>
    <mergeCell ref="C10:E11"/>
    <mergeCell ref="F10:H10"/>
    <mergeCell ref="F11:G11"/>
    <mergeCell ref="H11:H12"/>
    <mergeCell ref="I10:I12"/>
    <mergeCell ref="J10:J12"/>
    <mergeCell ref="K10:L11"/>
    <mergeCell ref="M10:M12"/>
    <mergeCell ref="N10:N12"/>
    <mergeCell ref="O10:O12"/>
    <mergeCell ref="P10:P12"/>
  </mergeCells>
  <phoneticPr fontId="10"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42"/>
  <sheetViews>
    <sheetView topLeftCell="A8" zoomScaleNormal="100" workbookViewId="0">
      <selection activeCell="W41" sqref="W10:AU41"/>
    </sheetView>
  </sheetViews>
  <sheetFormatPr baseColWidth="10" defaultColWidth="11.42578125" defaultRowHeight="12" x14ac:dyDescent="0.2"/>
  <cols>
    <col min="1" max="1" width="16.140625" style="59" customWidth="1"/>
    <col min="2" max="2" width="13.7109375" style="59" customWidth="1"/>
    <col min="3" max="3" width="3.85546875" style="60" customWidth="1"/>
    <col min="4" max="4" width="7.42578125" style="60" customWidth="1"/>
    <col min="5" max="5" width="3.7109375" style="60" hidden="1" customWidth="1"/>
    <col min="6" max="6" width="10.5703125" style="60" customWidth="1"/>
    <col min="7" max="7" width="3.140625" style="60" customWidth="1"/>
    <col min="8" max="8" width="15.140625" style="60" customWidth="1"/>
    <col min="9" max="9" width="41.140625" style="60" customWidth="1"/>
    <col min="10" max="16" width="12.28515625" style="29" customWidth="1"/>
    <col min="17" max="18" width="13.7109375" style="29" customWidth="1"/>
    <col min="19" max="19" width="11.85546875" style="29" customWidth="1"/>
    <col min="20" max="20" width="15.7109375" style="60" hidden="1" customWidth="1"/>
    <col min="21" max="21" width="11" style="60" hidden="1" customWidth="1"/>
    <col min="22" max="22" width="11" style="59" hidden="1" customWidth="1"/>
    <col min="23" max="23" width="12.28515625" style="62" customWidth="1"/>
    <col min="24" max="24" width="10.5703125" style="59" customWidth="1"/>
    <col min="25" max="25" width="4.140625" style="60" customWidth="1"/>
    <col min="26" max="26" width="7.28515625" style="60" customWidth="1"/>
    <col min="27" max="27" width="5" style="60" customWidth="1"/>
    <col min="28" max="28" width="4" style="60" customWidth="1"/>
    <col min="29" max="29" width="8.5703125" style="61" customWidth="1"/>
    <col min="30" max="30" width="13.7109375" style="59" customWidth="1"/>
    <col min="31" max="31" width="4.85546875" style="60" customWidth="1"/>
    <col min="32" max="33" width="12.7109375" style="60" customWidth="1"/>
    <col min="34" max="34" width="8.140625" style="60" customWidth="1"/>
    <col min="35" max="35" width="12.7109375" style="60" customWidth="1"/>
    <col min="36" max="36" width="6.7109375" style="60" customWidth="1"/>
    <col min="37" max="37" width="13.7109375" style="63" customWidth="1"/>
    <col min="38" max="39" width="15.7109375" style="61" customWidth="1"/>
    <col min="40" max="40" width="10.7109375" style="60" customWidth="1"/>
    <col min="41" max="41" width="15.7109375" style="60" customWidth="1"/>
    <col min="42" max="42" width="10.7109375" style="59" customWidth="1"/>
    <col min="43" max="43" width="11.7109375" style="60" customWidth="1"/>
    <col min="44" max="44" width="9.28515625" style="61" customWidth="1"/>
    <col min="45" max="45" width="48.85546875" style="60" customWidth="1"/>
    <col min="46" max="46" width="9.7109375" style="60" customWidth="1"/>
    <col min="47" max="47" width="15.7109375" style="61" customWidth="1"/>
    <col min="48" max="16384" width="11.42578125" style="64"/>
  </cols>
  <sheetData>
    <row r="1" spans="1:48" hidden="1" x14ac:dyDescent="0.2">
      <c r="A1" s="59" t="s">
        <v>0</v>
      </c>
    </row>
    <row r="2" spans="1:48" hidden="1" x14ac:dyDescent="0.2">
      <c r="A2" s="59" t="s">
        <v>1</v>
      </c>
    </row>
    <row r="3" spans="1:48" hidden="1" x14ac:dyDescent="0.2">
      <c r="A3" s="59" t="s">
        <v>2</v>
      </c>
    </row>
    <row r="4" spans="1:48" hidden="1" x14ac:dyDescent="0.2">
      <c r="A4" s="59" t="s">
        <v>3</v>
      </c>
    </row>
    <row r="5" spans="1:48" hidden="1" x14ac:dyDescent="0.2">
      <c r="A5" s="59" t="s">
        <v>4</v>
      </c>
    </row>
    <row r="6" spans="1:48" hidden="1" x14ac:dyDescent="0.2"/>
    <row r="7" spans="1:48" hidden="1" x14ac:dyDescent="0.2"/>
    <row r="8" spans="1:48" x14ac:dyDescent="0.2">
      <c r="A8" s="143" t="s">
        <v>64</v>
      </c>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row>
    <row r="10" spans="1:48" ht="21.95" customHeight="1" x14ac:dyDescent="0.2">
      <c r="A10" s="144" t="s">
        <v>6</v>
      </c>
      <c r="B10" s="144" t="s">
        <v>8</v>
      </c>
      <c r="C10" s="145" t="s">
        <v>9</v>
      </c>
      <c r="D10" s="145"/>
      <c r="E10" s="145"/>
      <c r="F10" s="145" t="s">
        <v>65</v>
      </c>
      <c r="G10" s="146" t="s">
        <v>66</v>
      </c>
      <c r="H10" s="146"/>
      <c r="I10" s="146"/>
      <c r="J10" s="147" t="s">
        <v>67</v>
      </c>
      <c r="K10" s="147"/>
      <c r="L10" s="147" t="s">
        <v>68</v>
      </c>
      <c r="M10" s="147"/>
      <c r="N10" s="147" t="s">
        <v>69</v>
      </c>
      <c r="O10" s="147"/>
      <c r="P10" s="147" t="s">
        <v>70</v>
      </c>
      <c r="Q10" s="147" t="s">
        <v>28</v>
      </c>
      <c r="R10" s="147" t="s">
        <v>71</v>
      </c>
      <c r="S10" s="147" t="s">
        <v>72</v>
      </c>
      <c r="T10" s="145" t="s">
        <v>73</v>
      </c>
      <c r="U10" s="146" t="s">
        <v>74</v>
      </c>
      <c r="V10" s="152"/>
      <c r="W10" s="149" t="s">
        <v>32</v>
      </c>
      <c r="X10" s="146" t="s">
        <v>34</v>
      </c>
      <c r="Y10" s="146"/>
      <c r="Z10" s="146"/>
      <c r="AA10" s="146"/>
      <c r="AB10" s="145" t="s">
        <v>38</v>
      </c>
      <c r="AC10" s="150" t="s">
        <v>39</v>
      </c>
      <c r="AD10" s="144" t="s">
        <v>40</v>
      </c>
      <c r="AE10" s="145" t="s">
        <v>41</v>
      </c>
      <c r="AF10" s="145" t="s">
        <v>46</v>
      </c>
      <c r="AG10" s="145" t="s">
        <v>48</v>
      </c>
      <c r="AH10" s="145" t="s">
        <v>49</v>
      </c>
      <c r="AI10" s="145" t="s">
        <v>43</v>
      </c>
      <c r="AJ10" s="145" t="s">
        <v>45</v>
      </c>
      <c r="AK10" s="148" t="s">
        <v>50</v>
      </c>
      <c r="AL10" s="150" t="s">
        <v>52</v>
      </c>
      <c r="AM10" s="150" t="s">
        <v>54</v>
      </c>
      <c r="AN10" s="145" t="s">
        <v>55</v>
      </c>
      <c r="AO10" s="145" t="s">
        <v>56</v>
      </c>
      <c r="AP10" s="144" t="s">
        <v>57</v>
      </c>
      <c r="AQ10" s="145" t="s">
        <v>58</v>
      </c>
      <c r="AR10" s="150" t="s">
        <v>59</v>
      </c>
      <c r="AS10" s="145" t="s">
        <v>60</v>
      </c>
      <c r="AT10" s="145" t="s">
        <v>62</v>
      </c>
      <c r="AU10" s="150" t="s">
        <v>75</v>
      </c>
    </row>
    <row r="11" spans="1:48" ht="21.95" customHeight="1" x14ac:dyDescent="0.2">
      <c r="A11" s="144"/>
      <c r="B11" s="144"/>
      <c r="C11" s="145"/>
      <c r="D11" s="145"/>
      <c r="E11" s="145"/>
      <c r="F11" s="145"/>
      <c r="G11" s="146" t="s">
        <v>17</v>
      </c>
      <c r="H11" s="146"/>
      <c r="I11" s="145" t="s">
        <v>20</v>
      </c>
      <c r="J11" s="147"/>
      <c r="K11" s="147"/>
      <c r="L11" s="147"/>
      <c r="M11" s="147"/>
      <c r="N11" s="147"/>
      <c r="O11" s="147"/>
      <c r="P11" s="147"/>
      <c r="Q11" s="147"/>
      <c r="R11" s="147"/>
      <c r="S11" s="147"/>
      <c r="T11" s="145"/>
      <c r="U11" s="146"/>
      <c r="V11" s="152"/>
      <c r="W11" s="149"/>
      <c r="X11" s="146"/>
      <c r="Y11" s="146"/>
      <c r="Z11" s="146"/>
      <c r="AA11" s="146"/>
      <c r="AB11" s="145"/>
      <c r="AC11" s="150"/>
      <c r="AD11" s="144"/>
      <c r="AE11" s="145"/>
      <c r="AF11" s="145"/>
      <c r="AG11" s="145"/>
      <c r="AH11" s="145"/>
      <c r="AI11" s="145"/>
      <c r="AJ11" s="145"/>
      <c r="AK11" s="148"/>
      <c r="AL11" s="150"/>
      <c r="AM11" s="150"/>
      <c r="AN11" s="145"/>
      <c r="AO11" s="145"/>
      <c r="AP11" s="144"/>
      <c r="AQ11" s="145"/>
      <c r="AR11" s="150"/>
      <c r="AS11" s="145"/>
      <c r="AT11" s="145"/>
      <c r="AU11" s="150"/>
    </row>
    <row r="12" spans="1:48" ht="108" x14ac:dyDescent="0.2">
      <c r="A12" s="144"/>
      <c r="B12" s="144"/>
      <c r="C12" s="67" t="s">
        <v>10</v>
      </c>
      <c r="D12" s="67" t="s">
        <v>76</v>
      </c>
      <c r="E12" s="67" t="s">
        <v>77</v>
      </c>
      <c r="F12" s="145"/>
      <c r="G12" s="67" t="s">
        <v>10</v>
      </c>
      <c r="H12" s="67" t="s">
        <v>14</v>
      </c>
      <c r="I12" s="145"/>
      <c r="J12" s="42" t="s">
        <v>78</v>
      </c>
      <c r="K12" s="42" t="s">
        <v>79</v>
      </c>
      <c r="L12" s="42" t="s">
        <v>78</v>
      </c>
      <c r="M12" s="42" t="s">
        <v>79</v>
      </c>
      <c r="N12" s="42" t="s">
        <v>78</v>
      </c>
      <c r="O12" s="42" t="s">
        <v>79</v>
      </c>
      <c r="P12" s="147"/>
      <c r="Q12" s="147"/>
      <c r="R12" s="147"/>
      <c r="S12" s="147"/>
      <c r="T12" s="145"/>
      <c r="U12" s="67" t="s">
        <v>14</v>
      </c>
      <c r="V12" s="90" t="s">
        <v>80</v>
      </c>
      <c r="W12" s="149"/>
      <c r="X12" s="68" t="s">
        <v>35</v>
      </c>
      <c r="Y12" s="67" t="s">
        <v>10</v>
      </c>
      <c r="Z12" s="67" t="s">
        <v>36</v>
      </c>
      <c r="AA12" s="67" t="s">
        <v>37</v>
      </c>
      <c r="AB12" s="145"/>
      <c r="AC12" s="150"/>
      <c r="AD12" s="144"/>
      <c r="AE12" s="145"/>
      <c r="AF12" s="145"/>
      <c r="AG12" s="145"/>
      <c r="AH12" s="145"/>
      <c r="AI12" s="145"/>
      <c r="AJ12" s="145"/>
      <c r="AK12" s="148"/>
      <c r="AL12" s="150"/>
      <c r="AM12" s="150"/>
      <c r="AN12" s="145"/>
      <c r="AO12" s="145"/>
      <c r="AP12" s="144"/>
      <c r="AQ12" s="145"/>
      <c r="AR12" s="150"/>
      <c r="AS12" s="145"/>
      <c r="AT12" s="145"/>
      <c r="AU12" s="150"/>
    </row>
    <row r="13" spans="1:48" ht="60" customHeight="1" x14ac:dyDescent="0.2">
      <c r="A13" s="65" t="s">
        <v>7</v>
      </c>
      <c r="B13" s="65" t="s">
        <v>7</v>
      </c>
      <c r="C13" s="66" t="s">
        <v>11</v>
      </c>
      <c r="D13" s="66" t="s">
        <v>13</v>
      </c>
      <c r="E13" s="66" t="s">
        <v>81</v>
      </c>
      <c r="F13" s="66" t="s">
        <v>15</v>
      </c>
      <c r="G13" s="66" t="s">
        <v>18</v>
      </c>
      <c r="H13" s="66" t="s">
        <v>19</v>
      </c>
      <c r="I13" s="66" t="s">
        <v>21</v>
      </c>
      <c r="J13" s="28" t="s">
        <v>23</v>
      </c>
      <c r="K13" s="28" t="s">
        <v>23</v>
      </c>
      <c r="L13" s="28" t="s">
        <v>23</v>
      </c>
      <c r="M13" s="28" t="s">
        <v>23</v>
      </c>
      <c r="N13" s="28" t="s">
        <v>23</v>
      </c>
      <c r="O13" s="28" t="s">
        <v>23</v>
      </c>
      <c r="P13" s="28" t="s">
        <v>23</v>
      </c>
      <c r="Q13" s="28" t="s">
        <v>23</v>
      </c>
      <c r="R13" s="28" t="s">
        <v>23</v>
      </c>
      <c r="S13" s="28" t="s">
        <v>83</v>
      </c>
      <c r="T13" s="66" t="s">
        <v>82</v>
      </c>
      <c r="U13" s="66" t="s">
        <v>82</v>
      </c>
      <c r="V13" s="91" t="s">
        <v>7</v>
      </c>
      <c r="W13" s="94" t="s">
        <v>33</v>
      </c>
      <c r="X13" s="95" t="s">
        <v>7</v>
      </c>
      <c r="Y13" s="96" t="s">
        <v>11</v>
      </c>
      <c r="Z13" s="96" t="s">
        <v>13</v>
      </c>
      <c r="AA13" s="96" t="s">
        <v>15</v>
      </c>
      <c r="AB13" s="96" t="s">
        <v>18</v>
      </c>
      <c r="AC13" s="97" t="s">
        <v>23</v>
      </c>
      <c r="AD13" s="95" t="s">
        <v>7</v>
      </c>
      <c r="AE13" s="96" t="s">
        <v>42</v>
      </c>
      <c r="AF13" s="96" t="s">
        <v>47</v>
      </c>
      <c r="AG13" s="96" t="s">
        <v>47</v>
      </c>
      <c r="AH13" s="96" t="s">
        <v>47</v>
      </c>
      <c r="AI13" s="96" t="s">
        <v>44</v>
      </c>
      <c r="AJ13" s="96" t="s">
        <v>44</v>
      </c>
      <c r="AK13" s="98" t="s">
        <v>51</v>
      </c>
      <c r="AL13" s="97" t="s">
        <v>53</v>
      </c>
      <c r="AM13" s="97" t="s">
        <v>23</v>
      </c>
      <c r="AN13" s="96" t="s">
        <v>13</v>
      </c>
      <c r="AO13" s="96" t="s">
        <v>15</v>
      </c>
      <c r="AP13" s="95" t="s">
        <v>7</v>
      </c>
      <c r="AQ13" s="96" t="s">
        <v>47</v>
      </c>
      <c r="AR13" s="97" t="s">
        <v>53</v>
      </c>
      <c r="AS13" s="96" t="s">
        <v>21</v>
      </c>
      <c r="AT13" s="96" t="s">
        <v>18</v>
      </c>
      <c r="AU13" s="97" t="s">
        <v>23</v>
      </c>
    </row>
    <row r="14" spans="1:48" s="82" customFormat="1" ht="11.25" customHeight="1" x14ac:dyDescent="0.2">
      <c r="A14" s="69"/>
      <c r="B14" s="69">
        <f>+A14</f>
        <v>0</v>
      </c>
      <c r="C14" s="70" t="s">
        <v>84</v>
      </c>
      <c r="D14" s="71"/>
      <c r="E14" s="72"/>
      <c r="F14" s="70"/>
      <c r="G14" s="72">
        <v>6</v>
      </c>
      <c r="H14" s="71"/>
      <c r="I14" s="73"/>
      <c r="J14" s="74">
        <f>+S14/1.18</f>
        <v>0</v>
      </c>
      <c r="K14" s="74">
        <f>+J14*0.18</f>
        <v>0</v>
      </c>
      <c r="L14" s="74"/>
      <c r="M14" s="74"/>
      <c r="N14" s="74"/>
      <c r="O14" s="74"/>
      <c r="P14" s="74"/>
      <c r="Q14" s="74"/>
      <c r="R14" s="74"/>
      <c r="S14" s="74"/>
      <c r="T14" s="70"/>
      <c r="U14" s="70"/>
      <c r="V14" s="92"/>
      <c r="W14" s="75"/>
      <c r="X14" s="69"/>
      <c r="Y14" s="70"/>
      <c r="Z14" s="70"/>
      <c r="AA14" s="70"/>
      <c r="AB14" s="70"/>
      <c r="AC14" s="74"/>
      <c r="AD14" s="69"/>
      <c r="AE14" s="70"/>
      <c r="AF14" s="70"/>
      <c r="AG14" s="70"/>
      <c r="AH14" s="70"/>
      <c r="AI14" s="74"/>
      <c r="AJ14" s="70"/>
      <c r="AK14" s="70"/>
      <c r="AL14" s="76"/>
      <c r="AM14" s="70"/>
      <c r="AN14" s="70"/>
      <c r="AO14" s="70"/>
      <c r="AP14" s="70"/>
      <c r="AQ14" s="77"/>
      <c r="AR14" s="78"/>
      <c r="AS14" s="79"/>
      <c r="AT14" s="80"/>
      <c r="AU14" s="81"/>
      <c r="AV14" s="93"/>
    </row>
    <row r="15" spans="1:48" s="85" customFormat="1" ht="11.25" customHeight="1" x14ac:dyDescent="0.2">
      <c r="A15" s="69"/>
      <c r="B15" s="69">
        <f t="shared" ref="B15:B40" si="0">+A15</f>
        <v>0</v>
      </c>
      <c r="C15" s="70" t="s">
        <v>84</v>
      </c>
      <c r="D15" s="71"/>
      <c r="E15" s="72"/>
      <c r="F15" s="70"/>
      <c r="G15" s="72">
        <v>6</v>
      </c>
      <c r="H15" s="71"/>
      <c r="I15" s="73"/>
      <c r="J15" s="74">
        <f t="shared" ref="J15:J40" si="1">+S15/1.18</f>
        <v>0</v>
      </c>
      <c r="K15" s="74">
        <f t="shared" ref="K15:K40" si="2">+J15*0.18</f>
        <v>0</v>
      </c>
      <c r="L15" s="74"/>
      <c r="M15" s="74"/>
      <c r="N15" s="74"/>
      <c r="O15" s="74"/>
      <c r="P15" s="74"/>
      <c r="Q15" s="74"/>
      <c r="R15" s="74"/>
      <c r="S15" s="74"/>
      <c r="T15" s="83"/>
      <c r="U15" s="83"/>
      <c r="V15" s="84"/>
      <c r="W15" s="75"/>
      <c r="X15" s="69"/>
      <c r="Y15" s="70"/>
      <c r="Z15" s="70"/>
      <c r="AA15" s="70"/>
      <c r="AB15" s="70"/>
      <c r="AC15" s="74"/>
      <c r="AD15" s="69"/>
      <c r="AE15" s="70"/>
      <c r="AF15" s="70"/>
      <c r="AG15" s="70"/>
      <c r="AH15" s="70"/>
      <c r="AI15" s="74"/>
      <c r="AJ15" s="70"/>
      <c r="AK15" s="70"/>
      <c r="AL15" s="76"/>
      <c r="AM15" s="70"/>
      <c r="AN15" s="70"/>
      <c r="AO15" s="70"/>
      <c r="AP15" s="70"/>
      <c r="AQ15" s="77"/>
      <c r="AR15" s="78"/>
      <c r="AS15" s="79"/>
      <c r="AT15" s="80"/>
      <c r="AU15" s="81"/>
    </row>
    <row r="16" spans="1:48" s="85" customFormat="1" ht="11.25" customHeight="1" x14ac:dyDescent="0.2">
      <c r="A16" s="69"/>
      <c r="B16" s="69">
        <f t="shared" si="0"/>
        <v>0</v>
      </c>
      <c r="C16" s="70" t="s">
        <v>84</v>
      </c>
      <c r="D16" s="71"/>
      <c r="E16" s="72"/>
      <c r="F16" s="70"/>
      <c r="G16" s="72">
        <v>6</v>
      </c>
      <c r="H16" s="71"/>
      <c r="I16" s="73"/>
      <c r="J16" s="74">
        <f t="shared" si="1"/>
        <v>0</v>
      </c>
      <c r="K16" s="74">
        <f t="shared" si="2"/>
        <v>0</v>
      </c>
      <c r="L16" s="74"/>
      <c r="M16" s="74"/>
      <c r="N16" s="74"/>
      <c r="O16" s="74"/>
      <c r="P16" s="74"/>
      <c r="Q16" s="74"/>
      <c r="R16" s="74"/>
      <c r="S16" s="74"/>
      <c r="T16" s="83"/>
      <c r="U16" s="83"/>
      <c r="V16" s="84"/>
      <c r="W16" s="75"/>
      <c r="X16" s="69"/>
      <c r="Y16" s="70"/>
      <c r="Z16" s="70"/>
      <c r="AA16" s="70"/>
      <c r="AB16" s="70"/>
      <c r="AC16" s="74"/>
      <c r="AD16" s="69"/>
      <c r="AE16" s="70"/>
      <c r="AF16" s="70"/>
      <c r="AG16" s="70"/>
      <c r="AH16" s="70"/>
      <c r="AI16" s="74"/>
      <c r="AJ16" s="70"/>
      <c r="AK16" s="70"/>
      <c r="AL16" s="76"/>
      <c r="AM16" s="70"/>
      <c r="AN16" s="70"/>
      <c r="AO16" s="70"/>
      <c r="AP16" s="70"/>
      <c r="AQ16" s="77"/>
      <c r="AR16" s="78"/>
      <c r="AS16" s="79"/>
      <c r="AT16" s="80"/>
      <c r="AU16" s="81"/>
    </row>
    <row r="17" spans="1:47" s="85" customFormat="1" ht="11.25" customHeight="1" x14ac:dyDescent="0.2">
      <c r="A17" s="69"/>
      <c r="B17" s="69">
        <f t="shared" si="0"/>
        <v>0</v>
      </c>
      <c r="C17" s="70" t="s">
        <v>84</v>
      </c>
      <c r="D17" s="71"/>
      <c r="E17" s="72"/>
      <c r="F17" s="70"/>
      <c r="G17" s="72">
        <v>6</v>
      </c>
      <c r="H17" s="71"/>
      <c r="I17" s="73"/>
      <c r="J17" s="74">
        <f t="shared" si="1"/>
        <v>0</v>
      </c>
      <c r="K17" s="74">
        <f t="shared" si="2"/>
        <v>0</v>
      </c>
      <c r="L17" s="74"/>
      <c r="M17" s="74"/>
      <c r="N17" s="74"/>
      <c r="O17" s="74"/>
      <c r="P17" s="74"/>
      <c r="Q17" s="74"/>
      <c r="R17" s="74"/>
      <c r="S17" s="74"/>
      <c r="T17" s="83"/>
      <c r="U17" s="83"/>
      <c r="V17" s="84"/>
      <c r="W17" s="75"/>
      <c r="X17" s="69"/>
      <c r="Y17" s="70"/>
      <c r="Z17" s="70"/>
      <c r="AA17" s="70"/>
      <c r="AB17" s="70"/>
      <c r="AC17" s="74"/>
      <c r="AD17" s="69"/>
      <c r="AE17" s="70"/>
      <c r="AF17" s="70"/>
      <c r="AG17" s="70"/>
      <c r="AH17" s="70"/>
      <c r="AI17" s="74"/>
      <c r="AJ17" s="70"/>
      <c r="AK17" s="70"/>
      <c r="AL17" s="76"/>
      <c r="AM17" s="70"/>
      <c r="AN17" s="70"/>
      <c r="AO17" s="70"/>
      <c r="AP17" s="70"/>
      <c r="AQ17" s="77"/>
      <c r="AR17" s="78"/>
      <c r="AS17" s="79"/>
      <c r="AT17" s="80"/>
      <c r="AU17" s="81"/>
    </row>
    <row r="18" spans="1:47" s="85" customFormat="1" ht="11.25" customHeight="1" x14ac:dyDescent="0.2">
      <c r="A18" s="69"/>
      <c r="B18" s="69">
        <f t="shared" si="0"/>
        <v>0</v>
      </c>
      <c r="C18" s="70" t="s">
        <v>84</v>
      </c>
      <c r="D18" s="71"/>
      <c r="E18" s="72"/>
      <c r="F18" s="70"/>
      <c r="G18" s="72">
        <v>6</v>
      </c>
      <c r="H18" s="71"/>
      <c r="I18" s="73"/>
      <c r="J18" s="74">
        <f t="shared" si="1"/>
        <v>0</v>
      </c>
      <c r="K18" s="74">
        <f t="shared" si="2"/>
        <v>0</v>
      </c>
      <c r="L18" s="74"/>
      <c r="M18" s="74"/>
      <c r="N18" s="74"/>
      <c r="O18" s="74"/>
      <c r="P18" s="74"/>
      <c r="Q18" s="74"/>
      <c r="R18" s="74"/>
      <c r="S18" s="74"/>
      <c r="T18" s="83"/>
      <c r="U18" s="83"/>
      <c r="V18" s="84"/>
      <c r="W18" s="75"/>
      <c r="X18" s="69"/>
      <c r="Y18" s="70"/>
      <c r="Z18" s="70"/>
      <c r="AA18" s="70"/>
      <c r="AB18" s="70"/>
      <c r="AC18" s="74"/>
      <c r="AD18" s="69"/>
      <c r="AE18" s="70"/>
      <c r="AF18" s="70"/>
      <c r="AG18" s="70"/>
      <c r="AH18" s="70"/>
      <c r="AI18" s="74"/>
      <c r="AJ18" s="70"/>
      <c r="AK18" s="70"/>
      <c r="AL18" s="76"/>
      <c r="AM18" s="70"/>
      <c r="AN18" s="70"/>
      <c r="AO18" s="70"/>
      <c r="AP18" s="70"/>
      <c r="AQ18" s="77"/>
      <c r="AR18" s="78"/>
      <c r="AS18" s="79"/>
      <c r="AT18" s="80"/>
      <c r="AU18" s="81"/>
    </row>
    <row r="19" spans="1:47" s="85" customFormat="1" ht="11.25" customHeight="1" x14ac:dyDescent="0.2">
      <c r="A19" s="69"/>
      <c r="B19" s="69">
        <f t="shared" si="0"/>
        <v>0</v>
      </c>
      <c r="C19" s="70" t="s">
        <v>84</v>
      </c>
      <c r="D19" s="71"/>
      <c r="E19" s="72"/>
      <c r="F19" s="70"/>
      <c r="G19" s="72">
        <v>6</v>
      </c>
      <c r="H19" s="71"/>
      <c r="I19" s="73"/>
      <c r="J19" s="74">
        <f t="shared" si="1"/>
        <v>0</v>
      </c>
      <c r="K19" s="74">
        <f t="shared" si="2"/>
        <v>0</v>
      </c>
      <c r="L19" s="74"/>
      <c r="M19" s="74"/>
      <c r="N19" s="74"/>
      <c r="O19" s="74"/>
      <c r="P19" s="74"/>
      <c r="Q19" s="74"/>
      <c r="R19" s="74"/>
      <c r="S19" s="74"/>
      <c r="T19" s="83"/>
      <c r="U19" s="83"/>
      <c r="V19" s="84"/>
      <c r="W19" s="75"/>
      <c r="X19" s="69"/>
      <c r="Y19" s="70"/>
      <c r="Z19" s="70"/>
      <c r="AA19" s="70"/>
      <c r="AB19" s="70"/>
      <c r="AC19" s="74"/>
      <c r="AD19" s="69"/>
      <c r="AE19" s="70"/>
      <c r="AF19" s="70"/>
      <c r="AG19" s="70"/>
      <c r="AH19" s="70"/>
      <c r="AI19" s="74"/>
      <c r="AJ19" s="70"/>
      <c r="AK19" s="70"/>
      <c r="AL19" s="76"/>
      <c r="AM19" s="70"/>
      <c r="AN19" s="70"/>
      <c r="AO19" s="70"/>
      <c r="AP19" s="70"/>
      <c r="AQ19" s="77"/>
      <c r="AR19" s="78"/>
      <c r="AS19" s="79"/>
      <c r="AT19" s="80"/>
      <c r="AU19" s="81"/>
    </row>
    <row r="20" spans="1:47" s="85" customFormat="1" ht="11.25" customHeight="1" x14ac:dyDescent="0.2">
      <c r="A20" s="69"/>
      <c r="B20" s="69">
        <f t="shared" si="0"/>
        <v>0</v>
      </c>
      <c r="C20" s="70" t="s">
        <v>84</v>
      </c>
      <c r="D20" s="71"/>
      <c r="E20" s="72"/>
      <c r="F20" s="70"/>
      <c r="G20" s="72">
        <v>6</v>
      </c>
      <c r="H20" s="71"/>
      <c r="I20" s="73"/>
      <c r="J20" s="74">
        <f t="shared" si="1"/>
        <v>0</v>
      </c>
      <c r="K20" s="74">
        <f t="shared" si="2"/>
        <v>0</v>
      </c>
      <c r="L20" s="74"/>
      <c r="M20" s="74"/>
      <c r="N20" s="74"/>
      <c r="O20" s="74"/>
      <c r="P20" s="74"/>
      <c r="Q20" s="74"/>
      <c r="R20" s="74"/>
      <c r="S20" s="74"/>
      <c r="T20" s="83"/>
      <c r="U20" s="83"/>
      <c r="V20" s="84"/>
      <c r="W20" s="75"/>
      <c r="X20" s="69"/>
      <c r="Y20" s="70"/>
      <c r="Z20" s="70"/>
      <c r="AA20" s="70"/>
      <c r="AB20" s="70"/>
      <c r="AC20" s="74"/>
      <c r="AD20" s="69"/>
      <c r="AE20" s="70"/>
      <c r="AF20" s="70"/>
      <c r="AG20" s="70"/>
      <c r="AH20" s="70"/>
      <c r="AI20" s="74"/>
      <c r="AJ20" s="70"/>
      <c r="AK20" s="70"/>
      <c r="AL20" s="76"/>
      <c r="AM20" s="70"/>
      <c r="AN20" s="70"/>
      <c r="AO20" s="70"/>
      <c r="AP20" s="70"/>
      <c r="AQ20" s="77"/>
      <c r="AR20" s="78"/>
      <c r="AS20" s="79"/>
      <c r="AT20" s="80"/>
      <c r="AU20" s="81"/>
    </row>
    <row r="21" spans="1:47" s="85" customFormat="1" ht="11.25" customHeight="1" x14ac:dyDescent="0.2">
      <c r="A21" s="69"/>
      <c r="B21" s="69">
        <f t="shared" si="0"/>
        <v>0</v>
      </c>
      <c r="C21" s="70" t="s">
        <v>84</v>
      </c>
      <c r="D21" s="71"/>
      <c r="E21" s="72"/>
      <c r="F21" s="70"/>
      <c r="G21" s="72">
        <v>6</v>
      </c>
      <c r="H21" s="71"/>
      <c r="I21" s="73"/>
      <c r="J21" s="74">
        <f t="shared" si="1"/>
        <v>0</v>
      </c>
      <c r="K21" s="74">
        <f t="shared" si="2"/>
        <v>0</v>
      </c>
      <c r="L21" s="74"/>
      <c r="M21" s="74"/>
      <c r="N21" s="74"/>
      <c r="O21" s="74"/>
      <c r="P21" s="74"/>
      <c r="Q21" s="74"/>
      <c r="R21" s="74"/>
      <c r="S21" s="74"/>
      <c r="T21" s="83"/>
      <c r="U21" s="83"/>
      <c r="V21" s="84"/>
      <c r="W21" s="75"/>
      <c r="X21" s="69"/>
      <c r="Y21" s="70"/>
      <c r="Z21" s="70"/>
      <c r="AA21" s="70"/>
      <c r="AB21" s="70"/>
      <c r="AC21" s="74"/>
      <c r="AD21" s="69"/>
      <c r="AE21" s="70"/>
      <c r="AF21" s="70"/>
      <c r="AG21" s="70"/>
      <c r="AH21" s="70"/>
      <c r="AI21" s="74"/>
      <c r="AJ21" s="70"/>
      <c r="AK21" s="70"/>
      <c r="AL21" s="76"/>
      <c r="AM21" s="70"/>
      <c r="AN21" s="70"/>
      <c r="AO21" s="70"/>
      <c r="AP21" s="70"/>
      <c r="AQ21" s="77"/>
      <c r="AR21" s="78"/>
      <c r="AS21" s="79"/>
      <c r="AT21" s="80"/>
      <c r="AU21" s="81"/>
    </row>
    <row r="22" spans="1:47" s="85" customFormat="1" ht="11.25" customHeight="1" x14ac:dyDescent="0.2">
      <c r="A22" s="69"/>
      <c r="B22" s="69">
        <f t="shared" si="0"/>
        <v>0</v>
      </c>
      <c r="C22" s="70" t="s">
        <v>84</v>
      </c>
      <c r="D22" s="71"/>
      <c r="E22" s="72"/>
      <c r="F22" s="70"/>
      <c r="G22" s="72">
        <v>6</v>
      </c>
      <c r="H22" s="71"/>
      <c r="I22" s="73"/>
      <c r="J22" s="74">
        <f t="shared" si="1"/>
        <v>0</v>
      </c>
      <c r="K22" s="74">
        <f t="shared" si="2"/>
        <v>0</v>
      </c>
      <c r="L22" s="74"/>
      <c r="M22" s="74"/>
      <c r="N22" s="74"/>
      <c r="O22" s="74"/>
      <c r="P22" s="74"/>
      <c r="Q22" s="74"/>
      <c r="R22" s="74"/>
      <c r="S22" s="74"/>
      <c r="T22" s="83"/>
      <c r="U22" s="83"/>
      <c r="V22" s="84"/>
      <c r="W22" s="75"/>
      <c r="X22" s="69"/>
      <c r="Y22" s="70"/>
      <c r="Z22" s="70"/>
      <c r="AA22" s="70"/>
      <c r="AB22" s="70"/>
      <c r="AC22" s="74"/>
      <c r="AD22" s="69"/>
      <c r="AE22" s="70"/>
      <c r="AF22" s="70"/>
      <c r="AG22" s="70"/>
      <c r="AH22" s="70"/>
      <c r="AI22" s="74"/>
      <c r="AJ22" s="70"/>
      <c r="AK22" s="70"/>
      <c r="AL22" s="76"/>
      <c r="AM22" s="70"/>
      <c r="AN22" s="70"/>
      <c r="AO22" s="70"/>
      <c r="AP22" s="70"/>
      <c r="AQ22" s="77"/>
      <c r="AR22" s="78"/>
      <c r="AS22" s="79"/>
      <c r="AT22" s="80"/>
      <c r="AU22" s="81"/>
    </row>
    <row r="23" spans="1:47" s="85" customFormat="1" ht="11.25" customHeight="1" x14ac:dyDescent="0.2">
      <c r="A23" s="69"/>
      <c r="B23" s="69">
        <f t="shared" si="0"/>
        <v>0</v>
      </c>
      <c r="C23" s="70" t="s">
        <v>84</v>
      </c>
      <c r="D23" s="71"/>
      <c r="E23" s="72"/>
      <c r="F23" s="70"/>
      <c r="G23" s="72">
        <v>6</v>
      </c>
      <c r="H23" s="71"/>
      <c r="I23" s="73"/>
      <c r="J23" s="74">
        <f t="shared" si="1"/>
        <v>0</v>
      </c>
      <c r="K23" s="74">
        <f t="shared" si="2"/>
        <v>0</v>
      </c>
      <c r="L23" s="74"/>
      <c r="M23" s="74"/>
      <c r="N23" s="74"/>
      <c r="O23" s="74"/>
      <c r="P23" s="74"/>
      <c r="Q23" s="74"/>
      <c r="R23" s="74"/>
      <c r="S23" s="74"/>
      <c r="T23" s="83"/>
      <c r="U23" s="83"/>
      <c r="V23" s="84"/>
      <c r="W23" s="75"/>
      <c r="X23" s="69"/>
      <c r="Y23" s="70"/>
      <c r="Z23" s="70"/>
      <c r="AA23" s="70"/>
      <c r="AB23" s="70"/>
      <c r="AC23" s="74"/>
      <c r="AD23" s="69"/>
      <c r="AE23" s="70"/>
      <c r="AF23" s="70"/>
      <c r="AG23" s="70"/>
      <c r="AH23" s="70"/>
      <c r="AI23" s="74"/>
      <c r="AJ23" s="70"/>
      <c r="AK23" s="70"/>
      <c r="AL23" s="76"/>
      <c r="AM23" s="70"/>
      <c r="AN23" s="70"/>
      <c r="AO23" s="70"/>
      <c r="AP23" s="70"/>
      <c r="AQ23" s="77"/>
      <c r="AR23" s="78"/>
      <c r="AS23" s="79"/>
      <c r="AT23" s="80"/>
      <c r="AU23" s="81"/>
    </row>
    <row r="24" spans="1:47" s="85" customFormat="1" ht="11.25" customHeight="1" x14ac:dyDescent="0.2">
      <c r="A24" s="69"/>
      <c r="B24" s="69">
        <f t="shared" si="0"/>
        <v>0</v>
      </c>
      <c r="C24" s="70" t="s">
        <v>84</v>
      </c>
      <c r="D24" s="71"/>
      <c r="E24" s="72"/>
      <c r="F24" s="70"/>
      <c r="G24" s="72">
        <v>6</v>
      </c>
      <c r="H24" s="71"/>
      <c r="I24" s="73"/>
      <c r="J24" s="74">
        <f t="shared" si="1"/>
        <v>0</v>
      </c>
      <c r="K24" s="74">
        <f t="shared" si="2"/>
        <v>0</v>
      </c>
      <c r="L24" s="74"/>
      <c r="M24" s="74"/>
      <c r="N24" s="74"/>
      <c r="O24" s="74"/>
      <c r="P24" s="74"/>
      <c r="Q24" s="74"/>
      <c r="R24" s="74"/>
      <c r="S24" s="74"/>
      <c r="T24" s="83"/>
      <c r="U24" s="83"/>
      <c r="V24" s="84"/>
      <c r="W24" s="75"/>
      <c r="X24" s="69"/>
      <c r="Y24" s="70"/>
      <c r="Z24" s="70"/>
      <c r="AA24" s="70"/>
      <c r="AB24" s="70"/>
      <c r="AC24" s="74"/>
      <c r="AD24" s="69"/>
      <c r="AE24" s="70"/>
      <c r="AF24" s="70"/>
      <c r="AG24" s="70"/>
      <c r="AH24" s="70"/>
      <c r="AI24" s="74"/>
      <c r="AJ24" s="70"/>
      <c r="AK24" s="70"/>
      <c r="AL24" s="76"/>
      <c r="AM24" s="70"/>
      <c r="AN24" s="70"/>
      <c r="AO24" s="70"/>
      <c r="AP24" s="70"/>
      <c r="AQ24" s="77"/>
      <c r="AR24" s="78"/>
      <c r="AS24" s="79"/>
      <c r="AT24" s="80"/>
      <c r="AU24" s="81"/>
    </row>
    <row r="25" spans="1:47" s="85" customFormat="1" ht="11.25" customHeight="1" x14ac:dyDescent="0.2">
      <c r="A25" s="69"/>
      <c r="B25" s="69">
        <f t="shared" si="0"/>
        <v>0</v>
      </c>
      <c r="C25" s="70" t="s">
        <v>84</v>
      </c>
      <c r="D25" s="71"/>
      <c r="E25" s="72"/>
      <c r="F25" s="70"/>
      <c r="G25" s="72">
        <v>6</v>
      </c>
      <c r="H25" s="71"/>
      <c r="I25" s="73"/>
      <c r="J25" s="74">
        <f t="shared" si="1"/>
        <v>0</v>
      </c>
      <c r="K25" s="74">
        <f t="shared" si="2"/>
        <v>0</v>
      </c>
      <c r="L25" s="74"/>
      <c r="M25" s="74"/>
      <c r="N25" s="74"/>
      <c r="O25" s="74"/>
      <c r="P25" s="74"/>
      <c r="Q25" s="74"/>
      <c r="R25" s="74"/>
      <c r="S25" s="74"/>
      <c r="T25" s="83"/>
      <c r="U25" s="83"/>
      <c r="V25" s="84"/>
      <c r="W25" s="75"/>
      <c r="X25" s="69"/>
      <c r="Y25" s="70"/>
      <c r="Z25" s="70"/>
      <c r="AA25" s="70"/>
      <c r="AB25" s="70"/>
      <c r="AC25" s="74"/>
      <c r="AD25" s="69"/>
      <c r="AE25" s="70"/>
      <c r="AF25" s="70"/>
      <c r="AG25" s="70"/>
      <c r="AH25" s="70"/>
      <c r="AI25" s="74"/>
      <c r="AJ25" s="70"/>
      <c r="AK25" s="70"/>
      <c r="AL25" s="76"/>
      <c r="AM25" s="70"/>
      <c r="AN25" s="70"/>
      <c r="AO25" s="70"/>
      <c r="AP25" s="70"/>
      <c r="AQ25" s="77"/>
      <c r="AR25" s="78"/>
      <c r="AS25" s="79"/>
      <c r="AT25" s="80"/>
      <c r="AU25" s="81"/>
    </row>
    <row r="26" spans="1:47" s="85" customFormat="1" ht="11.25" customHeight="1" x14ac:dyDescent="0.2">
      <c r="A26" s="69"/>
      <c r="B26" s="69">
        <f t="shared" si="0"/>
        <v>0</v>
      </c>
      <c r="C26" s="70" t="s">
        <v>84</v>
      </c>
      <c r="D26" s="71"/>
      <c r="E26" s="72"/>
      <c r="F26" s="70"/>
      <c r="G26" s="72">
        <v>6</v>
      </c>
      <c r="H26" s="71"/>
      <c r="I26" s="73"/>
      <c r="J26" s="74">
        <f t="shared" si="1"/>
        <v>0</v>
      </c>
      <c r="K26" s="74">
        <f t="shared" si="2"/>
        <v>0</v>
      </c>
      <c r="L26" s="74"/>
      <c r="M26" s="74"/>
      <c r="N26" s="74"/>
      <c r="O26" s="74"/>
      <c r="P26" s="74"/>
      <c r="Q26" s="74"/>
      <c r="R26" s="74"/>
      <c r="S26" s="74"/>
      <c r="T26" s="83"/>
      <c r="U26" s="83"/>
      <c r="V26" s="84"/>
      <c r="W26" s="75"/>
      <c r="X26" s="69"/>
      <c r="Y26" s="70"/>
      <c r="Z26" s="70"/>
      <c r="AA26" s="70"/>
      <c r="AB26" s="70"/>
      <c r="AC26" s="74"/>
      <c r="AD26" s="69"/>
      <c r="AE26" s="70"/>
      <c r="AF26" s="70"/>
      <c r="AG26" s="70"/>
      <c r="AH26" s="70"/>
      <c r="AI26" s="74"/>
      <c r="AJ26" s="70"/>
      <c r="AK26" s="70"/>
      <c r="AL26" s="76"/>
      <c r="AM26" s="70"/>
      <c r="AN26" s="70"/>
      <c r="AO26" s="70"/>
      <c r="AP26" s="70"/>
      <c r="AQ26" s="77"/>
      <c r="AR26" s="78"/>
      <c r="AS26" s="79"/>
      <c r="AT26" s="80"/>
      <c r="AU26" s="81"/>
    </row>
    <row r="27" spans="1:47" s="85" customFormat="1" ht="11.25" customHeight="1" x14ac:dyDescent="0.2">
      <c r="A27" s="69"/>
      <c r="B27" s="69">
        <f t="shared" si="0"/>
        <v>0</v>
      </c>
      <c r="C27" s="70" t="s">
        <v>84</v>
      </c>
      <c r="D27" s="71"/>
      <c r="E27" s="72"/>
      <c r="F27" s="70"/>
      <c r="G27" s="72">
        <v>6</v>
      </c>
      <c r="H27" s="71"/>
      <c r="I27" s="73"/>
      <c r="J27" s="74">
        <f t="shared" si="1"/>
        <v>0</v>
      </c>
      <c r="K27" s="74">
        <f t="shared" si="2"/>
        <v>0</v>
      </c>
      <c r="L27" s="74"/>
      <c r="M27" s="74"/>
      <c r="N27" s="74"/>
      <c r="O27" s="74"/>
      <c r="P27" s="74"/>
      <c r="Q27" s="74"/>
      <c r="R27" s="74"/>
      <c r="S27" s="74"/>
      <c r="T27" s="83"/>
      <c r="U27" s="83"/>
      <c r="V27" s="84"/>
      <c r="W27" s="75"/>
      <c r="X27" s="69"/>
      <c r="Y27" s="70"/>
      <c r="Z27" s="70"/>
      <c r="AA27" s="70"/>
      <c r="AB27" s="70"/>
      <c r="AC27" s="74"/>
      <c r="AD27" s="69"/>
      <c r="AE27" s="70"/>
      <c r="AF27" s="70"/>
      <c r="AG27" s="70"/>
      <c r="AH27" s="70"/>
      <c r="AI27" s="74"/>
      <c r="AJ27" s="70"/>
      <c r="AK27" s="70"/>
      <c r="AL27" s="76"/>
      <c r="AM27" s="70"/>
      <c r="AN27" s="70"/>
      <c r="AO27" s="70"/>
      <c r="AP27" s="70"/>
      <c r="AQ27" s="77"/>
      <c r="AR27" s="78"/>
      <c r="AS27" s="79"/>
      <c r="AT27" s="80"/>
      <c r="AU27" s="81"/>
    </row>
    <row r="28" spans="1:47" s="85" customFormat="1" ht="11.25" customHeight="1" x14ac:dyDescent="0.2">
      <c r="A28" s="69"/>
      <c r="B28" s="69">
        <f t="shared" si="0"/>
        <v>0</v>
      </c>
      <c r="C28" s="70" t="s">
        <v>84</v>
      </c>
      <c r="D28" s="71"/>
      <c r="E28" s="72"/>
      <c r="F28" s="70"/>
      <c r="G28" s="72">
        <v>6</v>
      </c>
      <c r="H28" s="71"/>
      <c r="I28" s="73"/>
      <c r="J28" s="74">
        <f t="shared" si="1"/>
        <v>0</v>
      </c>
      <c r="K28" s="74">
        <f t="shared" si="2"/>
        <v>0</v>
      </c>
      <c r="L28" s="74"/>
      <c r="M28" s="74"/>
      <c r="N28" s="74"/>
      <c r="O28" s="74"/>
      <c r="P28" s="74"/>
      <c r="Q28" s="74"/>
      <c r="R28" s="74"/>
      <c r="S28" s="74"/>
      <c r="T28" s="83"/>
      <c r="U28" s="83"/>
      <c r="V28" s="84"/>
      <c r="W28" s="75"/>
      <c r="X28" s="69"/>
      <c r="Y28" s="70"/>
      <c r="Z28" s="70"/>
      <c r="AA28" s="70"/>
      <c r="AB28" s="70"/>
      <c r="AC28" s="74"/>
      <c r="AD28" s="69"/>
      <c r="AE28" s="70"/>
      <c r="AF28" s="70"/>
      <c r="AG28" s="70"/>
      <c r="AH28" s="70"/>
      <c r="AI28" s="74"/>
      <c r="AJ28" s="70"/>
      <c r="AK28" s="70"/>
      <c r="AL28" s="76"/>
      <c r="AM28" s="70"/>
      <c r="AN28" s="70"/>
      <c r="AO28" s="70"/>
      <c r="AP28" s="70"/>
      <c r="AQ28" s="77"/>
      <c r="AR28" s="78"/>
      <c r="AS28" s="79"/>
      <c r="AT28" s="80"/>
      <c r="AU28" s="81"/>
    </row>
    <row r="29" spans="1:47" s="85" customFormat="1" ht="11.25" customHeight="1" x14ac:dyDescent="0.2">
      <c r="A29" s="69"/>
      <c r="B29" s="69">
        <f t="shared" si="0"/>
        <v>0</v>
      </c>
      <c r="C29" s="70" t="s">
        <v>84</v>
      </c>
      <c r="D29" s="71"/>
      <c r="E29" s="72"/>
      <c r="F29" s="70"/>
      <c r="G29" s="72">
        <v>6</v>
      </c>
      <c r="H29" s="71"/>
      <c r="I29" s="73"/>
      <c r="J29" s="74">
        <f t="shared" si="1"/>
        <v>0</v>
      </c>
      <c r="K29" s="74">
        <f t="shared" si="2"/>
        <v>0</v>
      </c>
      <c r="L29" s="74"/>
      <c r="M29" s="74"/>
      <c r="N29" s="74"/>
      <c r="O29" s="74"/>
      <c r="P29" s="74"/>
      <c r="Q29" s="74"/>
      <c r="R29" s="74"/>
      <c r="S29" s="74"/>
      <c r="T29" s="83"/>
      <c r="U29" s="83"/>
      <c r="V29" s="84"/>
      <c r="W29" s="75"/>
      <c r="X29" s="69"/>
      <c r="Y29" s="70"/>
      <c r="Z29" s="70"/>
      <c r="AA29" s="70"/>
      <c r="AB29" s="70"/>
      <c r="AC29" s="74"/>
      <c r="AD29" s="69"/>
      <c r="AE29" s="70"/>
      <c r="AF29" s="70"/>
      <c r="AG29" s="70"/>
      <c r="AH29" s="70"/>
      <c r="AI29" s="74"/>
      <c r="AJ29" s="70"/>
      <c r="AK29" s="70"/>
      <c r="AL29" s="76"/>
      <c r="AM29" s="70"/>
      <c r="AN29" s="70"/>
      <c r="AO29" s="70"/>
      <c r="AP29" s="70"/>
      <c r="AQ29" s="77"/>
      <c r="AR29" s="78"/>
      <c r="AS29" s="79"/>
      <c r="AT29" s="80"/>
      <c r="AU29" s="81"/>
    </row>
    <row r="30" spans="1:47" s="85" customFormat="1" ht="11.25" customHeight="1" x14ac:dyDescent="0.2">
      <c r="A30" s="69"/>
      <c r="B30" s="69">
        <f t="shared" si="0"/>
        <v>0</v>
      </c>
      <c r="C30" s="70" t="s">
        <v>84</v>
      </c>
      <c r="D30" s="71"/>
      <c r="E30" s="72"/>
      <c r="F30" s="70"/>
      <c r="G30" s="72">
        <v>6</v>
      </c>
      <c r="H30" s="71"/>
      <c r="I30" s="73"/>
      <c r="J30" s="74">
        <f t="shared" si="1"/>
        <v>0</v>
      </c>
      <c r="K30" s="74">
        <f t="shared" si="2"/>
        <v>0</v>
      </c>
      <c r="L30" s="74"/>
      <c r="M30" s="74"/>
      <c r="N30" s="74"/>
      <c r="O30" s="74"/>
      <c r="P30" s="74"/>
      <c r="Q30" s="74"/>
      <c r="R30" s="74"/>
      <c r="S30" s="74"/>
      <c r="T30" s="83"/>
      <c r="U30" s="83"/>
      <c r="V30" s="84"/>
      <c r="W30" s="75"/>
      <c r="X30" s="69"/>
      <c r="Y30" s="70"/>
      <c r="Z30" s="70"/>
      <c r="AA30" s="70"/>
      <c r="AB30" s="70"/>
      <c r="AC30" s="74"/>
      <c r="AD30" s="69"/>
      <c r="AE30" s="70"/>
      <c r="AF30" s="70"/>
      <c r="AG30" s="70"/>
      <c r="AH30" s="70"/>
      <c r="AI30" s="74"/>
      <c r="AJ30" s="70"/>
      <c r="AK30" s="70"/>
      <c r="AL30" s="76"/>
      <c r="AM30" s="70"/>
      <c r="AN30" s="70"/>
      <c r="AO30" s="70"/>
      <c r="AP30" s="70"/>
      <c r="AQ30" s="77"/>
      <c r="AR30" s="78"/>
      <c r="AS30" s="79"/>
      <c r="AT30" s="80"/>
      <c r="AU30" s="81"/>
    </row>
    <row r="31" spans="1:47" s="85" customFormat="1" ht="11.25" customHeight="1" x14ac:dyDescent="0.2">
      <c r="A31" s="69"/>
      <c r="B31" s="69">
        <f t="shared" si="0"/>
        <v>0</v>
      </c>
      <c r="C31" s="70" t="s">
        <v>84</v>
      </c>
      <c r="D31" s="71"/>
      <c r="E31" s="72"/>
      <c r="F31" s="70"/>
      <c r="G31" s="72">
        <v>6</v>
      </c>
      <c r="H31" s="71"/>
      <c r="I31" s="73"/>
      <c r="J31" s="74">
        <f t="shared" si="1"/>
        <v>0</v>
      </c>
      <c r="K31" s="74">
        <f t="shared" si="2"/>
        <v>0</v>
      </c>
      <c r="L31" s="74"/>
      <c r="M31" s="74"/>
      <c r="N31" s="74"/>
      <c r="O31" s="74"/>
      <c r="P31" s="74"/>
      <c r="Q31" s="74"/>
      <c r="R31" s="74"/>
      <c r="S31" s="74"/>
      <c r="T31" s="83"/>
      <c r="U31" s="83"/>
      <c r="V31" s="84"/>
      <c r="W31" s="75"/>
      <c r="X31" s="69"/>
      <c r="Y31" s="70"/>
      <c r="Z31" s="70"/>
      <c r="AA31" s="70"/>
      <c r="AB31" s="70"/>
      <c r="AC31" s="74"/>
      <c r="AD31" s="69"/>
      <c r="AE31" s="70"/>
      <c r="AF31" s="70"/>
      <c r="AG31" s="70"/>
      <c r="AH31" s="70"/>
      <c r="AI31" s="74"/>
      <c r="AJ31" s="70"/>
      <c r="AK31" s="70"/>
      <c r="AL31" s="76"/>
      <c r="AM31" s="70"/>
      <c r="AN31" s="70"/>
      <c r="AO31" s="70"/>
      <c r="AP31" s="70"/>
      <c r="AQ31" s="77"/>
      <c r="AR31" s="78"/>
      <c r="AS31" s="79"/>
      <c r="AT31" s="80"/>
      <c r="AU31" s="81"/>
    </row>
    <row r="32" spans="1:47" s="85" customFormat="1" ht="11.25" customHeight="1" x14ac:dyDescent="0.2">
      <c r="A32" s="69"/>
      <c r="B32" s="69">
        <f t="shared" si="0"/>
        <v>0</v>
      </c>
      <c r="C32" s="70" t="s">
        <v>84</v>
      </c>
      <c r="D32" s="71"/>
      <c r="E32" s="72"/>
      <c r="F32" s="70"/>
      <c r="G32" s="72">
        <v>6</v>
      </c>
      <c r="H32" s="71"/>
      <c r="I32" s="73"/>
      <c r="J32" s="74">
        <f t="shared" si="1"/>
        <v>0</v>
      </c>
      <c r="K32" s="74">
        <f t="shared" si="2"/>
        <v>0</v>
      </c>
      <c r="L32" s="74"/>
      <c r="M32" s="74"/>
      <c r="N32" s="74"/>
      <c r="O32" s="74"/>
      <c r="P32" s="74"/>
      <c r="Q32" s="74"/>
      <c r="R32" s="74"/>
      <c r="S32" s="74"/>
      <c r="T32" s="83"/>
      <c r="U32" s="83"/>
      <c r="V32" s="84"/>
      <c r="W32" s="75"/>
      <c r="X32" s="69"/>
      <c r="Y32" s="70"/>
      <c r="Z32" s="70"/>
      <c r="AA32" s="70"/>
      <c r="AB32" s="70"/>
      <c r="AC32" s="74"/>
      <c r="AD32" s="69"/>
      <c r="AE32" s="70"/>
      <c r="AF32" s="70"/>
      <c r="AG32" s="70"/>
      <c r="AH32" s="70"/>
      <c r="AI32" s="74"/>
      <c r="AJ32" s="70"/>
      <c r="AK32" s="70"/>
      <c r="AL32" s="76"/>
      <c r="AM32" s="70"/>
      <c r="AN32" s="70"/>
      <c r="AO32" s="70"/>
      <c r="AP32" s="70"/>
      <c r="AQ32" s="77"/>
      <c r="AR32" s="78"/>
      <c r="AS32" s="79"/>
      <c r="AT32" s="80"/>
      <c r="AU32" s="81"/>
    </row>
    <row r="33" spans="1:47" s="85" customFormat="1" ht="11.25" customHeight="1" x14ac:dyDescent="0.2">
      <c r="A33" s="69"/>
      <c r="B33" s="69">
        <f t="shared" si="0"/>
        <v>0</v>
      </c>
      <c r="C33" s="70" t="s">
        <v>84</v>
      </c>
      <c r="D33" s="71"/>
      <c r="E33" s="72"/>
      <c r="F33" s="70"/>
      <c r="G33" s="72">
        <v>6</v>
      </c>
      <c r="H33" s="71"/>
      <c r="I33" s="73"/>
      <c r="J33" s="74">
        <f t="shared" si="1"/>
        <v>0</v>
      </c>
      <c r="K33" s="74">
        <f t="shared" si="2"/>
        <v>0</v>
      </c>
      <c r="L33" s="74"/>
      <c r="M33" s="74"/>
      <c r="N33" s="74"/>
      <c r="O33" s="74"/>
      <c r="P33" s="74"/>
      <c r="Q33" s="74"/>
      <c r="R33" s="74"/>
      <c r="S33" s="74"/>
      <c r="T33" s="83"/>
      <c r="U33" s="83"/>
      <c r="V33" s="84"/>
      <c r="W33" s="75"/>
      <c r="X33" s="69"/>
      <c r="Y33" s="70"/>
      <c r="Z33" s="70"/>
      <c r="AA33" s="70"/>
      <c r="AB33" s="70"/>
      <c r="AC33" s="74"/>
      <c r="AD33" s="69"/>
      <c r="AE33" s="70"/>
      <c r="AF33" s="70"/>
      <c r="AG33" s="70"/>
      <c r="AH33" s="70"/>
      <c r="AI33" s="74"/>
      <c r="AJ33" s="70"/>
      <c r="AK33" s="70"/>
      <c r="AL33" s="76"/>
      <c r="AM33" s="70"/>
      <c r="AN33" s="70"/>
      <c r="AO33" s="70"/>
      <c r="AP33" s="70"/>
      <c r="AQ33" s="77"/>
      <c r="AR33" s="78"/>
      <c r="AS33" s="79"/>
      <c r="AT33" s="80"/>
      <c r="AU33" s="81"/>
    </row>
    <row r="34" spans="1:47" s="85" customFormat="1" ht="11.25" customHeight="1" x14ac:dyDescent="0.2">
      <c r="A34" s="69"/>
      <c r="B34" s="69">
        <f t="shared" si="0"/>
        <v>0</v>
      </c>
      <c r="C34" s="70" t="s">
        <v>84</v>
      </c>
      <c r="D34" s="71"/>
      <c r="E34" s="72"/>
      <c r="F34" s="70"/>
      <c r="G34" s="72">
        <v>6</v>
      </c>
      <c r="H34" s="71"/>
      <c r="I34" s="73"/>
      <c r="J34" s="74">
        <f t="shared" si="1"/>
        <v>0</v>
      </c>
      <c r="K34" s="74">
        <f t="shared" si="2"/>
        <v>0</v>
      </c>
      <c r="L34" s="74"/>
      <c r="M34" s="74"/>
      <c r="N34" s="74"/>
      <c r="O34" s="74"/>
      <c r="P34" s="74"/>
      <c r="Q34" s="74"/>
      <c r="R34" s="74"/>
      <c r="S34" s="74"/>
      <c r="T34" s="83"/>
      <c r="U34" s="83"/>
      <c r="V34" s="84"/>
      <c r="W34" s="75"/>
      <c r="X34" s="69"/>
      <c r="Y34" s="70"/>
      <c r="Z34" s="70"/>
      <c r="AA34" s="70"/>
      <c r="AB34" s="70"/>
      <c r="AC34" s="74"/>
      <c r="AD34" s="69"/>
      <c r="AE34" s="70"/>
      <c r="AF34" s="70"/>
      <c r="AG34" s="70"/>
      <c r="AH34" s="70"/>
      <c r="AI34" s="74"/>
      <c r="AJ34" s="70"/>
      <c r="AK34" s="70"/>
      <c r="AL34" s="76"/>
      <c r="AM34" s="70"/>
      <c r="AN34" s="70"/>
      <c r="AO34" s="70"/>
      <c r="AP34" s="70"/>
      <c r="AQ34" s="77"/>
      <c r="AR34" s="78"/>
      <c r="AS34" s="79"/>
      <c r="AT34" s="80"/>
      <c r="AU34" s="81"/>
    </row>
    <row r="35" spans="1:47" s="85" customFormat="1" ht="11.25" customHeight="1" x14ac:dyDescent="0.2">
      <c r="A35" s="69"/>
      <c r="B35" s="69">
        <f t="shared" si="0"/>
        <v>0</v>
      </c>
      <c r="C35" s="70" t="s">
        <v>84</v>
      </c>
      <c r="D35" s="71"/>
      <c r="E35" s="72"/>
      <c r="F35" s="70"/>
      <c r="G35" s="72">
        <v>6</v>
      </c>
      <c r="H35" s="71"/>
      <c r="I35" s="73"/>
      <c r="J35" s="74">
        <f t="shared" si="1"/>
        <v>0</v>
      </c>
      <c r="K35" s="74">
        <f t="shared" si="2"/>
        <v>0</v>
      </c>
      <c r="L35" s="74"/>
      <c r="M35" s="74"/>
      <c r="N35" s="74"/>
      <c r="O35" s="74"/>
      <c r="P35" s="74"/>
      <c r="Q35" s="74"/>
      <c r="R35" s="74"/>
      <c r="S35" s="74"/>
      <c r="T35" s="83"/>
      <c r="U35" s="83"/>
      <c r="V35" s="84"/>
      <c r="W35" s="75"/>
      <c r="X35" s="69"/>
      <c r="Y35" s="70"/>
      <c r="Z35" s="70"/>
      <c r="AA35" s="70"/>
      <c r="AB35" s="70"/>
      <c r="AC35" s="74"/>
      <c r="AD35" s="69"/>
      <c r="AE35" s="70"/>
      <c r="AF35" s="70"/>
      <c r="AG35" s="70"/>
      <c r="AH35" s="70"/>
      <c r="AI35" s="74"/>
      <c r="AJ35" s="70"/>
      <c r="AK35" s="70"/>
      <c r="AL35" s="76"/>
      <c r="AM35" s="70"/>
      <c r="AN35" s="70"/>
      <c r="AO35" s="70"/>
      <c r="AP35" s="70"/>
      <c r="AQ35" s="77"/>
      <c r="AR35" s="78"/>
      <c r="AS35" s="79"/>
      <c r="AT35" s="80"/>
      <c r="AU35" s="81"/>
    </row>
    <row r="36" spans="1:47" s="85" customFormat="1" ht="11.25" customHeight="1" x14ac:dyDescent="0.2">
      <c r="A36" s="69"/>
      <c r="B36" s="69">
        <f t="shared" si="0"/>
        <v>0</v>
      </c>
      <c r="C36" s="70" t="s">
        <v>84</v>
      </c>
      <c r="D36" s="71"/>
      <c r="E36" s="72"/>
      <c r="F36" s="70"/>
      <c r="G36" s="72">
        <v>6</v>
      </c>
      <c r="H36" s="71"/>
      <c r="I36" s="73"/>
      <c r="J36" s="74">
        <f t="shared" si="1"/>
        <v>0</v>
      </c>
      <c r="K36" s="74">
        <f t="shared" si="2"/>
        <v>0</v>
      </c>
      <c r="L36" s="74"/>
      <c r="M36" s="74"/>
      <c r="N36" s="74"/>
      <c r="O36" s="74"/>
      <c r="P36" s="74"/>
      <c r="Q36" s="74"/>
      <c r="R36" s="74"/>
      <c r="S36" s="74"/>
      <c r="T36" s="83"/>
      <c r="U36" s="83"/>
      <c r="V36" s="84"/>
      <c r="W36" s="75"/>
      <c r="X36" s="69"/>
      <c r="Y36" s="70"/>
      <c r="Z36" s="70"/>
      <c r="AA36" s="70"/>
      <c r="AB36" s="70"/>
      <c r="AC36" s="74"/>
      <c r="AD36" s="69"/>
      <c r="AE36" s="70"/>
      <c r="AF36" s="70"/>
      <c r="AG36" s="70"/>
      <c r="AH36" s="70"/>
      <c r="AI36" s="74"/>
      <c r="AJ36" s="70"/>
      <c r="AK36" s="70"/>
      <c r="AL36" s="76"/>
      <c r="AM36" s="70"/>
      <c r="AN36" s="70"/>
      <c r="AO36" s="70"/>
      <c r="AP36" s="70"/>
      <c r="AQ36" s="77"/>
      <c r="AR36" s="78"/>
      <c r="AS36" s="79"/>
      <c r="AT36" s="80"/>
      <c r="AU36" s="81"/>
    </row>
    <row r="37" spans="1:47" s="85" customFormat="1" ht="11.25" customHeight="1" x14ac:dyDescent="0.2">
      <c r="A37" s="69"/>
      <c r="B37" s="69">
        <f t="shared" si="0"/>
        <v>0</v>
      </c>
      <c r="C37" s="70" t="s">
        <v>84</v>
      </c>
      <c r="D37" s="71"/>
      <c r="E37" s="72"/>
      <c r="F37" s="70"/>
      <c r="G37" s="72">
        <v>6</v>
      </c>
      <c r="H37" s="71"/>
      <c r="I37" s="73"/>
      <c r="J37" s="74">
        <f t="shared" si="1"/>
        <v>0</v>
      </c>
      <c r="K37" s="74">
        <f t="shared" si="2"/>
        <v>0</v>
      </c>
      <c r="L37" s="74"/>
      <c r="M37" s="74"/>
      <c r="N37" s="74"/>
      <c r="O37" s="74"/>
      <c r="P37" s="74"/>
      <c r="Q37" s="74"/>
      <c r="R37" s="74"/>
      <c r="S37" s="74"/>
      <c r="T37" s="83"/>
      <c r="U37" s="83"/>
      <c r="V37" s="84"/>
      <c r="W37" s="75"/>
      <c r="X37" s="69"/>
      <c r="Y37" s="70"/>
      <c r="Z37" s="70"/>
      <c r="AA37" s="70"/>
      <c r="AB37" s="70"/>
      <c r="AC37" s="74"/>
      <c r="AD37" s="69"/>
      <c r="AE37" s="70"/>
      <c r="AF37" s="70"/>
      <c r="AG37" s="70"/>
      <c r="AH37" s="70"/>
      <c r="AI37" s="74"/>
      <c r="AJ37" s="70"/>
      <c r="AK37" s="70"/>
      <c r="AL37" s="76"/>
      <c r="AM37" s="70"/>
      <c r="AN37" s="70"/>
      <c r="AO37" s="70"/>
      <c r="AP37" s="70"/>
      <c r="AQ37" s="77"/>
      <c r="AR37" s="78"/>
      <c r="AS37" s="79"/>
      <c r="AT37" s="80"/>
      <c r="AU37" s="81"/>
    </row>
    <row r="38" spans="1:47" s="85" customFormat="1" ht="11.25" customHeight="1" x14ac:dyDescent="0.2">
      <c r="A38" s="69"/>
      <c r="B38" s="69">
        <f t="shared" si="0"/>
        <v>0</v>
      </c>
      <c r="C38" s="70" t="s">
        <v>84</v>
      </c>
      <c r="D38" s="71"/>
      <c r="E38" s="72"/>
      <c r="F38" s="70"/>
      <c r="G38" s="72">
        <v>6</v>
      </c>
      <c r="H38" s="71"/>
      <c r="I38" s="73"/>
      <c r="J38" s="74">
        <f t="shared" si="1"/>
        <v>0</v>
      </c>
      <c r="K38" s="74">
        <f t="shared" si="2"/>
        <v>0</v>
      </c>
      <c r="L38" s="74"/>
      <c r="M38" s="74"/>
      <c r="N38" s="74"/>
      <c r="O38" s="74"/>
      <c r="P38" s="74"/>
      <c r="Q38" s="74"/>
      <c r="R38" s="74"/>
      <c r="S38" s="74"/>
      <c r="T38" s="83"/>
      <c r="U38" s="83"/>
      <c r="V38" s="84"/>
      <c r="W38" s="75"/>
      <c r="X38" s="69"/>
      <c r="Y38" s="70"/>
      <c r="Z38" s="70"/>
      <c r="AA38" s="70"/>
      <c r="AB38" s="70"/>
      <c r="AC38" s="74"/>
      <c r="AD38" s="69"/>
      <c r="AE38" s="70"/>
      <c r="AF38" s="70"/>
      <c r="AG38" s="70"/>
      <c r="AH38" s="70"/>
      <c r="AI38" s="74"/>
      <c r="AJ38" s="70"/>
      <c r="AK38" s="70"/>
      <c r="AL38" s="76"/>
      <c r="AM38" s="70"/>
      <c r="AN38" s="70"/>
      <c r="AO38" s="70"/>
      <c r="AP38" s="70"/>
      <c r="AQ38" s="77"/>
      <c r="AR38" s="78"/>
      <c r="AS38" s="79"/>
      <c r="AT38" s="80"/>
      <c r="AU38" s="81"/>
    </row>
    <row r="39" spans="1:47" s="85" customFormat="1" ht="11.25" customHeight="1" x14ac:dyDescent="0.2">
      <c r="A39" s="69"/>
      <c r="B39" s="69">
        <f t="shared" si="0"/>
        <v>0</v>
      </c>
      <c r="C39" s="70" t="s">
        <v>84</v>
      </c>
      <c r="D39" s="71"/>
      <c r="E39" s="72"/>
      <c r="F39" s="70"/>
      <c r="G39" s="72">
        <v>6</v>
      </c>
      <c r="H39" s="71"/>
      <c r="I39" s="73"/>
      <c r="J39" s="74">
        <f t="shared" si="1"/>
        <v>0</v>
      </c>
      <c r="K39" s="74">
        <f t="shared" si="2"/>
        <v>0</v>
      </c>
      <c r="L39" s="74"/>
      <c r="M39" s="74"/>
      <c r="N39" s="74"/>
      <c r="O39" s="74"/>
      <c r="P39" s="74"/>
      <c r="Q39" s="74"/>
      <c r="R39" s="74"/>
      <c r="S39" s="74"/>
      <c r="T39" s="83"/>
      <c r="U39" s="83"/>
      <c r="V39" s="84"/>
      <c r="W39" s="75"/>
      <c r="X39" s="69"/>
      <c r="Y39" s="70"/>
      <c r="Z39" s="70"/>
      <c r="AA39" s="70"/>
      <c r="AB39" s="70"/>
      <c r="AC39" s="74"/>
      <c r="AD39" s="69"/>
      <c r="AE39" s="70"/>
      <c r="AF39" s="70"/>
      <c r="AG39" s="70"/>
      <c r="AH39" s="70"/>
      <c r="AI39" s="74"/>
      <c r="AJ39" s="70"/>
      <c r="AK39" s="70"/>
      <c r="AL39" s="76"/>
      <c r="AM39" s="70"/>
      <c r="AN39" s="70"/>
      <c r="AO39" s="70"/>
      <c r="AP39" s="70"/>
      <c r="AQ39" s="77"/>
      <c r="AR39" s="78"/>
      <c r="AS39" s="79"/>
      <c r="AT39" s="80"/>
      <c r="AU39" s="81"/>
    </row>
    <row r="40" spans="1:47" s="85" customFormat="1" ht="11.25" customHeight="1" x14ac:dyDescent="0.2">
      <c r="A40" s="69"/>
      <c r="B40" s="69">
        <f t="shared" si="0"/>
        <v>0</v>
      </c>
      <c r="C40" s="70" t="s">
        <v>84</v>
      </c>
      <c r="D40" s="71"/>
      <c r="E40" s="72"/>
      <c r="F40" s="70"/>
      <c r="G40" s="72">
        <v>6</v>
      </c>
      <c r="H40" s="71"/>
      <c r="I40" s="73"/>
      <c r="J40" s="74">
        <f t="shared" si="1"/>
        <v>0</v>
      </c>
      <c r="K40" s="74">
        <f t="shared" si="2"/>
        <v>0</v>
      </c>
      <c r="L40" s="74"/>
      <c r="M40" s="74"/>
      <c r="N40" s="74"/>
      <c r="O40" s="74"/>
      <c r="P40" s="74"/>
      <c r="Q40" s="74"/>
      <c r="R40" s="74"/>
      <c r="S40" s="74"/>
      <c r="T40" s="83"/>
      <c r="U40" s="83"/>
      <c r="V40" s="84"/>
      <c r="W40" s="75"/>
      <c r="X40" s="69"/>
      <c r="Y40" s="70"/>
      <c r="Z40" s="70"/>
      <c r="AA40" s="70"/>
      <c r="AB40" s="70"/>
      <c r="AC40" s="74"/>
      <c r="AD40" s="69"/>
      <c r="AE40" s="70"/>
      <c r="AF40" s="70"/>
      <c r="AG40" s="70"/>
      <c r="AH40" s="70"/>
      <c r="AI40" s="74"/>
      <c r="AJ40" s="70"/>
      <c r="AK40" s="70"/>
      <c r="AL40" s="76"/>
      <c r="AM40" s="70"/>
      <c r="AN40" s="70"/>
      <c r="AO40" s="70"/>
      <c r="AP40" s="70"/>
      <c r="AQ40" s="77"/>
      <c r="AR40" s="78"/>
      <c r="AS40" s="79"/>
      <c r="AT40" s="80"/>
      <c r="AU40" s="81"/>
    </row>
    <row r="41" spans="1:47" s="89" customFormat="1" x14ac:dyDescent="0.2">
      <c r="A41" s="151" t="s">
        <v>83</v>
      </c>
      <c r="B41" s="151"/>
      <c r="C41" s="151"/>
      <c r="D41" s="151"/>
      <c r="E41" s="151"/>
      <c r="F41" s="151"/>
      <c r="G41" s="151"/>
      <c r="H41" s="151"/>
      <c r="I41" s="151"/>
      <c r="J41" s="86">
        <f t="shared" ref="J41:S41" si="3">SUM(J14:J14)</f>
        <v>0</v>
      </c>
      <c r="K41" s="86">
        <f t="shared" si="3"/>
        <v>0</v>
      </c>
      <c r="L41" s="86">
        <f t="shared" si="3"/>
        <v>0</v>
      </c>
      <c r="M41" s="86">
        <f t="shared" si="3"/>
        <v>0</v>
      </c>
      <c r="N41" s="86">
        <f t="shared" si="3"/>
        <v>0</v>
      </c>
      <c r="O41" s="86">
        <f t="shared" si="3"/>
        <v>0</v>
      </c>
      <c r="P41" s="86">
        <f t="shared" si="3"/>
        <v>0</v>
      </c>
      <c r="Q41" s="86">
        <f t="shared" si="3"/>
        <v>0</v>
      </c>
      <c r="R41" s="86">
        <f t="shared" si="3"/>
        <v>0</v>
      </c>
      <c r="S41" s="86">
        <f t="shared" si="3"/>
        <v>0</v>
      </c>
      <c r="T41" s="87"/>
      <c r="U41" s="87"/>
      <c r="V41" s="88"/>
      <c r="W41" s="99"/>
      <c r="X41" s="100"/>
      <c r="Y41" s="101"/>
      <c r="Z41" s="101"/>
      <c r="AA41" s="101"/>
      <c r="AB41" s="101"/>
      <c r="AC41" s="102"/>
      <c r="AD41" s="100"/>
      <c r="AE41" s="101"/>
      <c r="AF41" s="101"/>
      <c r="AG41" s="101"/>
      <c r="AH41" s="101"/>
      <c r="AI41" s="101"/>
      <c r="AJ41" s="101"/>
      <c r="AK41" s="103"/>
      <c r="AL41" s="102"/>
      <c r="AM41" s="102"/>
      <c r="AN41" s="101"/>
      <c r="AO41" s="101"/>
      <c r="AP41" s="100"/>
      <c r="AQ41" s="101"/>
      <c r="AR41" s="102"/>
      <c r="AS41" s="101"/>
      <c r="AT41" s="101"/>
      <c r="AU41" s="102"/>
    </row>
    <row r="42" spans="1:47" x14ac:dyDescent="0.2">
      <c r="J42" s="38"/>
      <c r="K42" s="38"/>
      <c r="L42" s="38"/>
      <c r="M42" s="38"/>
      <c r="N42" s="38"/>
      <c r="O42" s="38"/>
      <c r="P42" s="38">
        <f>+P41+O41+N41</f>
        <v>0</v>
      </c>
      <c r="Q42" s="38"/>
      <c r="R42" s="38"/>
      <c r="S42" s="38"/>
    </row>
  </sheetData>
  <autoFilter ref="H1:H14" xr:uid="{00000000-0009-0000-0000-000001000000}"/>
  <mergeCells count="40">
    <mergeCell ref="A41:I41"/>
    <mergeCell ref="U10:V11"/>
    <mergeCell ref="AS10:AS12"/>
    <mergeCell ref="AT10:AT12"/>
    <mergeCell ref="AD10:AD12"/>
    <mergeCell ref="AE10:AE12"/>
    <mergeCell ref="AF10:AF12"/>
    <mergeCell ref="AJ10:AJ12"/>
    <mergeCell ref="AU10:AU12"/>
    <mergeCell ref="G11:H11"/>
    <mergeCell ref="I11:I12"/>
    <mergeCell ref="AM10:AM12"/>
    <mergeCell ref="AN10:AN12"/>
    <mergeCell ref="AO10:AO12"/>
    <mergeCell ref="AP10:AP12"/>
    <mergeCell ref="AQ10:AQ12"/>
    <mergeCell ref="AR10:AR12"/>
    <mergeCell ref="AG10:AG12"/>
    <mergeCell ref="AH10:AH12"/>
    <mergeCell ref="AI10:AI12"/>
    <mergeCell ref="AL10:AL12"/>
    <mergeCell ref="X10:AA11"/>
    <mergeCell ref="AB10:AB12"/>
    <mergeCell ref="AC10:AC12"/>
    <mergeCell ref="A8:AP8"/>
    <mergeCell ref="A10:A12"/>
    <mergeCell ref="B10:B12"/>
    <mergeCell ref="C10:E11"/>
    <mergeCell ref="F10:F12"/>
    <mergeCell ref="G10:I10"/>
    <mergeCell ref="J10:K11"/>
    <mergeCell ref="L10:M11"/>
    <mergeCell ref="N10:O11"/>
    <mergeCell ref="P10:P12"/>
    <mergeCell ref="Q10:Q12"/>
    <mergeCell ref="R10:R12"/>
    <mergeCell ref="S10:S12"/>
    <mergeCell ref="T10:T12"/>
    <mergeCell ref="AK10:AK12"/>
    <mergeCell ref="W10:W12"/>
  </mergeCells>
  <phoneticPr fontId="10" type="noConversion"/>
  <conditionalFormatting sqref="F14:F40">
    <cfRule type="duplicateValues" dxfId="13" priority="1"/>
    <cfRule type="duplicateValues" dxfId="12" priority="2"/>
    <cfRule type="duplicateValues" dxfId="11" priority="3"/>
    <cfRule type="duplicateValues" dxfId="10" priority="4"/>
    <cfRule type="duplicateValues" dxfId="9" priority="5"/>
    <cfRule type="duplicateValues" dxfId="8" priority="6"/>
    <cfRule type="duplicateValues" dxfId="7" priority="7"/>
    <cfRule type="duplicateValues" dxfId="6" priority="8"/>
    <cfRule type="duplicateValues" dxfId="5" priority="9"/>
    <cfRule type="duplicateValues" dxfId="4" priority="10"/>
    <cfRule type="duplicateValues" dxfId="3" priority="11"/>
    <cfRule type="duplicateValues" dxfId="2" priority="12"/>
  </conditionalFormatting>
  <conditionalFormatting sqref="F41:F1048576 F1:F13">
    <cfRule type="duplicateValues" dxfId="1" priority="55"/>
  </conditionalFormatting>
  <conditionalFormatting sqref="F42:F1048576 F1:F13">
    <cfRule type="duplicateValues" dxfId="0" priority="51"/>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FORMATO_VENTAS</vt:lpstr>
      <vt:lpstr>FORMATO_ COMPRAS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dc:creator>
  <cp:lastModifiedBy>USUARIO</cp:lastModifiedBy>
  <cp:lastPrinted>2018-01-10T17:36:51Z</cp:lastPrinted>
  <dcterms:created xsi:type="dcterms:W3CDTF">2017-02-16T15:33:09Z</dcterms:created>
  <dcterms:modified xsi:type="dcterms:W3CDTF">2026-08-26T19:57:48Z</dcterms:modified>
</cp:coreProperties>
</file>